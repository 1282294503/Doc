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vn\hokuran\doc\100_先行開発\202604_advanced_development\01_成果物\02_オンライン\8.6.4_手数料配分計算書出力\"/>
    </mc:Choice>
  </mc:AlternateContent>
  <xr:revisionPtr revIDLastSave="0" documentId="13_ncr:1_{44555B10-8729-4F22-9682-B9658EE25BB8}" xr6:coauthVersionLast="47" xr6:coauthVersionMax="47" xr10:uidLastSave="{00000000-0000-0000-0000-000000000000}"/>
  <bookViews>
    <workbookView xWindow="-120" yWindow="-120" windowWidth="29040" windowHeight="15720" tabRatio="760" firstSheet="5" activeTab="10" xr2:uid="{2DF8DF8D-BA86-4AC0-9B9E-3F34621BC152}"/>
  </bookViews>
  <sheets>
    <sheet name="表紙" sheetId="9" r:id="rId1"/>
    <sheet name="改訂履歴" sheetId="10" r:id="rId2"/>
    <sheet name="テスト一覧" sheetId="34" r:id="rId3"/>
    <sheet name="テスト仕様（No.1)" sheetId="61" r:id="rId4"/>
    <sheet name="テストデータDB（No.1）" sheetId="60" r:id="rId5"/>
    <sheet name="テストデータ期待値（No.1)" sheetId="62" r:id="rId6"/>
    <sheet name="テスト仕様（No.2)" sheetId="63" r:id="rId7"/>
    <sheet name="テストデータDB（No.2）" sheetId="66" r:id="rId8"/>
    <sheet name="テストデータ期待値（No.2)" sheetId="67" r:id="rId9"/>
    <sheet name="テスト仕様（No.3)" sheetId="68" r:id="rId10"/>
    <sheet name="テストデータDB（No.3）" sheetId="69" r:id="rId11"/>
    <sheet name="テストデータ期待値（No.3)" sheetId="70" r:id="rId12"/>
    <sheet name="テストデータDB（No.x）" sheetId="14" r:id="rId13"/>
  </sheets>
  <definedNames>
    <definedName name="_xlnm._FilterDatabase" localSheetId="3" hidden="1">'テスト仕様（No.1)'!$B$1:$N$7</definedName>
    <definedName name="_xlnm._FilterDatabase" localSheetId="6" hidden="1">'テスト仕様（No.2)'!$B$1:$O$12</definedName>
    <definedName name="_xlnm._FilterDatabase" localSheetId="9" hidden="1">'テスト仕様（No.3)'!$B$1:$P$41</definedName>
    <definedName name="_xlnm.Print_Area" localSheetId="3">'テスト仕様（No.1)'!$A$1:$AJ$37</definedName>
    <definedName name="_xlnm.Print_Area" localSheetId="6">'テスト仕様（No.2)'!$A$1:$AK$42</definedName>
    <definedName name="_xlnm.Print_Area" localSheetId="9">'テスト仕様（No.3)'!$A$1:$AL$71</definedName>
    <definedName name="_xlnm.Print_Area" localSheetId="0">表紙!$A$1:$AW$28</definedName>
    <definedName name="_xlnm.Print_Titles" localSheetId="2">テスト一覧!$1:$1</definedName>
    <definedName name="_xlnm.Print_Titles" localSheetId="3">'テスト仕様（No.1)'!$1:$1</definedName>
    <definedName name="_xlnm.Print_Titles" localSheetId="6">'テスト仕様（No.2)'!$1:$1</definedName>
    <definedName name="_xlnm.Print_Titles" localSheetId="9">'テスト仕様（No.3)'!$1:$1</definedName>
    <definedName name="_xlnm.Print_Titles" localSheetId="1">改訂履歴!$1:$1</definedName>
    <definedName name="_xlnm.Print_Titles" localSheetId="0">表紙!$1:$13</definedName>
    <definedName name="テストケース数シート別" localSheetId="3">'テスト仕様（No.1)'!$C$1</definedName>
    <definedName name="テストケース数シート別" localSheetId="6">'テスト仕様（No.2)'!$C$1</definedName>
    <definedName name="テストケース数シート別" localSheetId="9">'テスト仕様（No.3)'!$C$1</definedName>
    <definedName name="テストケース数シート別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70" l="1"/>
  <c r="M29" i="70"/>
  <c r="M28" i="70"/>
  <c r="M27" i="70"/>
  <c r="I30" i="70"/>
  <c r="I29" i="70"/>
  <c r="I28" i="70"/>
  <c r="I27" i="70"/>
  <c r="H30" i="70"/>
  <c r="H29" i="70"/>
  <c r="H28" i="70"/>
  <c r="H27" i="70"/>
  <c r="H26" i="70"/>
  <c r="E30" i="70"/>
  <c r="E29" i="70"/>
  <c r="E28" i="70"/>
  <c r="E27" i="70"/>
  <c r="E26" i="70"/>
  <c r="E24" i="70"/>
  <c r="E23" i="70"/>
  <c r="E22" i="70"/>
  <c r="E21" i="70"/>
  <c r="E20" i="70"/>
  <c r="L30" i="70"/>
  <c r="K30" i="70"/>
  <c r="J30" i="70"/>
  <c r="G30" i="70"/>
  <c r="F30" i="70"/>
  <c r="D30" i="70"/>
  <c r="C30" i="70"/>
  <c r="L29" i="70"/>
  <c r="K29" i="70"/>
  <c r="J29" i="70"/>
  <c r="G29" i="70"/>
  <c r="F29" i="70"/>
  <c r="D29" i="70"/>
  <c r="C29" i="70"/>
  <c r="L28" i="70"/>
  <c r="K28" i="70"/>
  <c r="J28" i="70"/>
  <c r="G28" i="70"/>
  <c r="F28" i="70"/>
  <c r="D28" i="70"/>
  <c r="C28" i="70"/>
  <c r="L27" i="70"/>
  <c r="K27" i="70"/>
  <c r="J27" i="70"/>
  <c r="G27" i="70"/>
  <c r="F27" i="70"/>
  <c r="D27" i="70"/>
  <c r="C27" i="70"/>
  <c r="M26" i="70"/>
  <c r="I26" i="70"/>
  <c r="L26" i="70"/>
  <c r="K26" i="70"/>
  <c r="J26" i="70"/>
  <c r="G26" i="70"/>
  <c r="F26" i="70"/>
  <c r="D26" i="70"/>
  <c r="C26" i="70"/>
  <c r="R54" i="69"/>
  <c r="Q54" i="69"/>
  <c r="P54" i="69"/>
  <c r="O54" i="69"/>
  <c r="M54" i="69"/>
  <c r="L54" i="69"/>
  <c r="K54" i="69"/>
  <c r="J54" i="69"/>
  <c r="I54" i="69"/>
  <c r="H54" i="69"/>
  <c r="G54" i="69"/>
  <c r="F54" i="69"/>
  <c r="D54" i="69"/>
  <c r="C54" i="69"/>
  <c r="R53" i="69"/>
  <c r="Q53" i="69"/>
  <c r="P53" i="69"/>
  <c r="O53" i="69"/>
  <c r="M53" i="69"/>
  <c r="L53" i="69"/>
  <c r="K53" i="69"/>
  <c r="J53" i="69"/>
  <c r="I53" i="69"/>
  <c r="H53" i="69"/>
  <c r="G53" i="69"/>
  <c r="F53" i="69"/>
  <c r="D53" i="69"/>
  <c r="C53" i="69"/>
  <c r="R52" i="69"/>
  <c r="Q52" i="69"/>
  <c r="P52" i="69"/>
  <c r="O52" i="69"/>
  <c r="M52" i="69"/>
  <c r="L52" i="69"/>
  <c r="K52" i="69"/>
  <c r="J52" i="69"/>
  <c r="I52" i="69"/>
  <c r="H52" i="69"/>
  <c r="G52" i="69"/>
  <c r="F52" i="69"/>
  <c r="D52" i="69"/>
  <c r="C52" i="69"/>
  <c r="R51" i="69"/>
  <c r="Q51" i="69"/>
  <c r="P51" i="69"/>
  <c r="O51" i="69"/>
  <c r="M51" i="69"/>
  <c r="L51" i="69"/>
  <c r="K51" i="69"/>
  <c r="J51" i="69"/>
  <c r="I51" i="69"/>
  <c r="H51" i="69"/>
  <c r="G51" i="69"/>
  <c r="F51" i="69"/>
  <c r="D51" i="69"/>
  <c r="C51" i="69"/>
  <c r="R50" i="69" l="1"/>
  <c r="Q50" i="69"/>
  <c r="P50" i="69"/>
  <c r="O50" i="69"/>
  <c r="M50" i="69" l="1"/>
  <c r="L50" i="69"/>
  <c r="K50" i="69"/>
  <c r="J50" i="69"/>
  <c r="I50" i="69"/>
  <c r="H50" i="69"/>
  <c r="G50" i="69"/>
  <c r="F50" i="69"/>
  <c r="D50" i="69"/>
  <c r="C50" i="69"/>
  <c r="M24" i="70" l="1"/>
  <c r="H48" i="69"/>
  <c r="J24" i="70" s="1"/>
  <c r="K24" i="70"/>
  <c r="S48" i="69"/>
  <c r="R48" i="69"/>
  <c r="Q48" i="69"/>
  <c r="P48" i="69"/>
  <c r="O48" i="69"/>
  <c r="N48" i="69"/>
  <c r="M48" i="69"/>
  <c r="L48" i="69"/>
  <c r="K48" i="69"/>
  <c r="J48" i="69"/>
  <c r="I48" i="69"/>
  <c r="L24" i="70" s="1"/>
  <c r="G48" i="69"/>
  <c r="F48" i="69"/>
  <c r="G24" i="70" s="1"/>
  <c r="E48" i="69"/>
  <c r="F24" i="70" s="1"/>
  <c r="D48" i="69"/>
  <c r="D24" i="70" s="1"/>
  <c r="C48" i="69"/>
  <c r="C24" i="70" s="1"/>
  <c r="M31" i="70"/>
  <c r="K31" i="70"/>
  <c r="E31" i="70"/>
  <c r="L44" i="69"/>
  <c r="J44" i="69"/>
  <c r="M20" i="70"/>
  <c r="M21" i="70"/>
  <c r="M22" i="70"/>
  <c r="M23" i="70"/>
  <c r="H43" i="69"/>
  <c r="J31" i="70" s="1"/>
  <c r="J19" i="70" l="1"/>
  <c r="K20" i="70"/>
  <c r="K21" i="70"/>
  <c r="K22" i="70"/>
  <c r="K23" i="70"/>
  <c r="K43" i="69"/>
  <c r="P43" i="69"/>
  <c r="M19" i="70"/>
  <c r="K19" i="70"/>
  <c r="E19" i="70"/>
  <c r="L100" i="69"/>
  <c r="K100" i="69"/>
  <c r="E100" i="69"/>
  <c r="D100" i="69"/>
  <c r="I24" i="70" s="1"/>
  <c r="C100" i="69"/>
  <c r="I21" i="70" l="1"/>
  <c r="I22" i="70"/>
  <c r="I20" i="70"/>
  <c r="I23" i="70"/>
  <c r="I19" i="70"/>
  <c r="I31" i="70"/>
  <c r="S47" i="69"/>
  <c r="K44" i="69"/>
  <c r="M44" i="69"/>
  <c r="N44" i="69"/>
  <c r="O44" i="69"/>
  <c r="P44" i="69"/>
  <c r="Q44" i="69"/>
  <c r="R44" i="69"/>
  <c r="S44" i="69"/>
  <c r="J45" i="69"/>
  <c r="K45" i="69"/>
  <c r="L45" i="69"/>
  <c r="M45" i="69"/>
  <c r="N45" i="69"/>
  <c r="O45" i="69"/>
  <c r="P45" i="69"/>
  <c r="Q45" i="69"/>
  <c r="R45" i="69"/>
  <c r="S45" i="69"/>
  <c r="J46" i="69"/>
  <c r="K46" i="69"/>
  <c r="L46" i="69"/>
  <c r="M46" i="69"/>
  <c r="N46" i="69"/>
  <c r="O46" i="69"/>
  <c r="P46" i="69"/>
  <c r="Q46" i="69"/>
  <c r="R46" i="69"/>
  <c r="S46" i="69"/>
  <c r="J47" i="69"/>
  <c r="K47" i="69"/>
  <c r="L47" i="69"/>
  <c r="M47" i="69"/>
  <c r="N47" i="69"/>
  <c r="O47" i="69"/>
  <c r="P47" i="69"/>
  <c r="Q47" i="69"/>
  <c r="R47" i="69"/>
  <c r="L43" i="69"/>
  <c r="M43" i="69"/>
  <c r="N43" i="69"/>
  <c r="O43" i="69"/>
  <c r="Q43" i="69"/>
  <c r="R43" i="69"/>
  <c r="S43" i="69"/>
  <c r="J43" i="69"/>
  <c r="I44" i="69"/>
  <c r="L23" i="70" s="1"/>
  <c r="I45" i="69"/>
  <c r="L22" i="70" s="1"/>
  <c r="I46" i="69"/>
  <c r="L21" i="70" s="1"/>
  <c r="I47" i="69"/>
  <c r="L20" i="70" s="1"/>
  <c r="I43" i="69"/>
  <c r="H44" i="69"/>
  <c r="J23" i="70" s="1"/>
  <c r="H45" i="69"/>
  <c r="J22" i="70" s="1"/>
  <c r="H46" i="69"/>
  <c r="J21" i="70" s="1"/>
  <c r="H47" i="69"/>
  <c r="J20" i="70" s="1"/>
  <c r="F47" i="69"/>
  <c r="G20" i="70" s="1"/>
  <c r="D44" i="69"/>
  <c r="D23" i="70" s="1"/>
  <c r="E44" i="69"/>
  <c r="F23" i="70" s="1"/>
  <c r="F44" i="69"/>
  <c r="G23" i="70" s="1"/>
  <c r="G44" i="69"/>
  <c r="H23" i="70" s="1"/>
  <c r="D45" i="69"/>
  <c r="D22" i="70" s="1"/>
  <c r="E45" i="69"/>
  <c r="F22" i="70" s="1"/>
  <c r="F45" i="69"/>
  <c r="G22" i="70" s="1"/>
  <c r="G45" i="69"/>
  <c r="H22" i="70" s="1"/>
  <c r="D46" i="69"/>
  <c r="D21" i="70" s="1"/>
  <c r="E46" i="69"/>
  <c r="F21" i="70" s="1"/>
  <c r="F46" i="69"/>
  <c r="G21" i="70" s="1"/>
  <c r="G46" i="69"/>
  <c r="H21" i="70" s="1"/>
  <c r="D47" i="69"/>
  <c r="D20" i="70" s="1"/>
  <c r="E47" i="69"/>
  <c r="F20" i="70" s="1"/>
  <c r="G47" i="69"/>
  <c r="H20" i="70" s="1"/>
  <c r="C47" i="69"/>
  <c r="C20" i="70" s="1"/>
  <c r="C44" i="69"/>
  <c r="C23" i="70" s="1"/>
  <c r="C45" i="69"/>
  <c r="C22" i="70" s="1"/>
  <c r="C46" i="69"/>
  <c r="C21" i="70" s="1"/>
  <c r="D43" i="69"/>
  <c r="E43" i="69"/>
  <c r="F43" i="69"/>
  <c r="G43" i="69"/>
  <c r="H19" i="70" s="1"/>
  <c r="C43" i="69"/>
  <c r="H24" i="70" l="1"/>
  <c r="G31" i="70"/>
  <c r="G19" i="70"/>
  <c r="C31" i="70"/>
  <c r="C19" i="70"/>
  <c r="D31" i="70"/>
  <c r="D19" i="70"/>
  <c r="F31" i="70"/>
  <c r="F19" i="70"/>
  <c r="L31" i="70"/>
  <c r="L19" i="70"/>
  <c r="H31" i="70"/>
  <c r="H1" i="68"/>
  <c r="J1" i="68" l="1"/>
  <c r="I1" i="68"/>
  <c r="G1" i="68"/>
  <c r="F1" i="68"/>
  <c r="E1" i="68" l="1"/>
  <c r="Q23" i="67"/>
  <c r="Q24" i="67"/>
  <c r="O24" i="67"/>
  <c r="P24" i="67"/>
  <c r="P23" i="67"/>
  <c r="O23" i="67"/>
  <c r="N24" i="67"/>
  <c r="N23" i="67"/>
  <c r="L18" i="67"/>
  <c r="L24" i="67"/>
  <c r="L23" i="67"/>
  <c r="J24" i="67"/>
  <c r="J23" i="67"/>
  <c r="H24" i="67"/>
  <c r="H23" i="67"/>
  <c r="H18" i="67"/>
  <c r="D24" i="67"/>
  <c r="D23" i="67"/>
  <c r="D18" i="67"/>
  <c r="C24" i="67"/>
  <c r="C23" i="67"/>
  <c r="C18" i="67"/>
  <c r="Q18" i="67" l="1"/>
  <c r="P18" i="67"/>
  <c r="O18" i="67"/>
  <c r="N18" i="67"/>
  <c r="M18" i="67"/>
  <c r="I18" i="67"/>
  <c r="G18" i="67"/>
  <c r="F18" i="67"/>
  <c r="E18" i="67"/>
  <c r="C4" i="63" l="1"/>
  <c r="J1" i="63"/>
  <c r="I1" i="63"/>
  <c r="H1" i="63"/>
  <c r="G1" i="63"/>
  <c r="F1" i="63"/>
  <c r="E1" i="63" l="1"/>
  <c r="J1" i="61"/>
  <c r="I1" i="61"/>
  <c r="H1" i="61"/>
  <c r="G1" i="61"/>
  <c r="F1" i="61"/>
  <c r="C4" i="61"/>
  <c r="I4" i="34" a="1"/>
  <c r="E1" i="61" l="1"/>
  <c r="I4" i="34"/>
  <c r="I2" i="34" a="1"/>
  <c r="I3" i="34" a="1"/>
  <c r="I3" i="34" l="1"/>
  <c r="I2" i="34"/>
  <c r="A2" i="10"/>
  <c r="J2" i="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SCSK</author>
  </authors>
  <commentList>
    <comment ref="E1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変更の起因となった不具合管理番号、変更管理番号などを記載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EAF108-FE3D-45DF-8B09-7BA70CFEED4F}" keepAlive="1" name="クエリ - テーブル2" description="ブック内の 'テーブル2' クエリへの接続です。" type="5" refreshedVersion="0" background="1">
    <dbPr connection="Provider=Microsoft.Mashup.OleDb.1;Data Source=$Workbook$;Location=テーブル2;Extended Properties=&quot;&quot;" command="SELECT * FROM [テーブル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<sst xmlns="http://schemas.openxmlformats.org/spreadsheetml/2006/main" count="3064" uniqueCount="775">
  <si>
    <t>管理No.：</t>
    <rPh sb="0" eb="2">
      <t>カンリ</t>
    </rPh>
    <phoneticPr fontId="6"/>
  </si>
  <si>
    <t>顧客ID</t>
    <rPh sb="0" eb="2">
      <t>コキャク</t>
    </rPh>
    <phoneticPr fontId="30"/>
  </si>
  <si>
    <t>顧客名</t>
    <rPh sb="0" eb="2">
      <t>コキャク</t>
    </rPh>
    <rPh sb="2" eb="3">
      <t>メイ</t>
    </rPh>
    <phoneticPr fontId="30"/>
  </si>
  <si>
    <t>システムID</t>
    <phoneticPr fontId="30"/>
  </si>
  <si>
    <t>システム名</t>
    <rPh sb="4" eb="5">
      <t>メイ</t>
    </rPh>
    <phoneticPr fontId="30"/>
  </si>
  <si>
    <t>サブシステムID</t>
    <phoneticPr fontId="6"/>
  </si>
  <si>
    <t>サブシステム名</t>
    <rPh sb="6" eb="7">
      <t>メイ</t>
    </rPh>
    <phoneticPr fontId="6"/>
  </si>
  <si>
    <t>機能ID</t>
    <rPh sb="0" eb="2">
      <t>キノウ</t>
    </rPh>
    <phoneticPr fontId="6"/>
  </si>
  <si>
    <t>機能名</t>
    <rPh sb="0" eb="2">
      <t>キノウ</t>
    </rPh>
    <rPh sb="2" eb="3">
      <t>メイ</t>
    </rPh>
    <phoneticPr fontId="6"/>
  </si>
  <si>
    <t>プログラムID</t>
    <phoneticPr fontId="6"/>
  </si>
  <si>
    <t>プログラム名</t>
    <rPh sb="5" eb="6">
      <t>メイ</t>
    </rPh>
    <phoneticPr fontId="6"/>
  </si>
  <si>
    <t>作成日付</t>
    <rPh sb="0" eb="2">
      <t>サクセイ</t>
    </rPh>
    <rPh sb="2" eb="4">
      <t>ヒヅケ</t>
    </rPh>
    <phoneticPr fontId="30"/>
  </si>
  <si>
    <t>作成者</t>
    <rPh sb="0" eb="3">
      <t>サクセイシャ</t>
    </rPh>
    <phoneticPr fontId="6"/>
  </si>
  <si>
    <t>最終変更日付</t>
    <rPh sb="0" eb="2">
      <t>サイシュウ</t>
    </rPh>
    <rPh sb="2" eb="4">
      <t>ヘンコウ</t>
    </rPh>
    <rPh sb="4" eb="6">
      <t>ヒヅケ</t>
    </rPh>
    <phoneticPr fontId="30"/>
  </si>
  <si>
    <t>変更者</t>
    <rPh sb="0" eb="2">
      <t>ヘンコウ</t>
    </rPh>
    <rPh sb="2" eb="3">
      <t>シャ</t>
    </rPh>
    <phoneticPr fontId="6"/>
  </si>
  <si>
    <t>確認欄</t>
    <rPh sb="0" eb="2">
      <t>カクニン</t>
    </rPh>
    <rPh sb="2" eb="3">
      <t>ラン</t>
    </rPh>
    <phoneticPr fontId="30"/>
  </si>
  <si>
    <t>印</t>
    <rPh sb="0" eb="1">
      <t>イン</t>
    </rPh>
    <phoneticPr fontId="30"/>
  </si>
  <si>
    <t>No.</t>
    <phoneticPr fontId="6"/>
  </si>
  <si>
    <t>版</t>
    <rPh sb="0" eb="1">
      <t>ハン</t>
    </rPh>
    <phoneticPr fontId="6"/>
  </si>
  <si>
    <t>変更箇所</t>
    <rPh sb="0" eb="2">
      <t>ヘンコウ</t>
    </rPh>
    <rPh sb="2" eb="4">
      <t>カショ</t>
    </rPh>
    <phoneticPr fontId="6"/>
  </si>
  <si>
    <t>変更内容</t>
    <rPh sb="0" eb="2">
      <t>ヘンコウ</t>
    </rPh>
    <rPh sb="2" eb="4">
      <t>ナイヨウ</t>
    </rPh>
    <phoneticPr fontId="6"/>
  </si>
  <si>
    <t>管理番号</t>
    <rPh sb="0" eb="2">
      <t>カンリ</t>
    </rPh>
    <rPh sb="2" eb="4">
      <t>バンゴウ</t>
    </rPh>
    <phoneticPr fontId="6"/>
  </si>
  <si>
    <t>変更者
・日付</t>
    <rPh sb="0" eb="2">
      <t>ヘンコウ</t>
    </rPh>
    <rPh sb="2" eb="3">
      <t>シャ</t>
    </rPh>
    <rPh sb="5" eb="7">
      <t>ヒヅケ</t>
    </rPh>
    <phoneticPr fontId="6"/>
  </si>
  <si>
    <t>確認者
・日付</t>
    <rPh sb="0" eb="2">
      <t>カクニン</t>
    </rPh>
    <rPh sb="2" eb="3">
      <t>シャ</t>
    </rPh>
    <rPh sb="5" eb="7">
      <t>ヒヅケ</t>
    </rPh>
    <phoneticPr fontId="6"/>
  </si>
  <si>
    <t>承認者
・日付</t>
    <rPh sb="0" eb="2">
      <t>ショウニン</t>
    </rPh>
    <rPh sb="2" eb="3">
      <t>シャ</t>
    </rPh>
    <rPh sb="5" eb="7">
      <t>ヒヅケ</t>
    </rPh>
    <phoneticPr fontId="6"/>
  </si>
  <si>
    <t>テスト観点</t>
    <rPh sb="3" eb="5">
      <t>カンテン</t>
    </rPh>
    <phoneticPr fontId="6"/>
  </si>
  <si>
    <t>想定結果</t>
    <rPh sb="0" eb="2">
      <t>ソウテイ</t>
    </rPh>
    <rPh sb="2" eb="4">
      <t>ケッカ</t>
    </rPh>
    <phoneticPr fontId="6"/>
  </si>
  <si>
    <t>エビデンス</t>
    <phoneticPr fontId="6"/>
  </si>
  <si>
    <t>確認結果</t>
    <rPh sb="0" eb="2">
      <t>カクニン</t>
    </rPh>
    <rPh sb="2" eb="4">
      <t>ケッカ</t>
    </rPh>
    <phoneticPr fontId="6"/>
  </si>
  <si>
    <t>テストケースＮｏ．</t>
    <phoneticPr fontId="10"/>
  </si>
  <si>
    <t>件数：</t>
    <rPh sb="0" eb="2">
      <t>ケンスウ</t>
    </rPh>
    <phoneticPr fontId="6"/>
  </si>
  <si>
    <t>№</t>
    <phoneticPr fontId="6"/>
  </si>
  <si>
    <t>テストケース条件内容</t>
    <rPh sb="8" eb="10">
      <t>ナイヨウ</t>
    </rPh>
    <phoneticPr fontId="6"/>
  </si>
  <si>
    <t>テストケース条件</t>
    <rPh sb="6" eb="8">
      <t>ジョウケン</t>
    </rPh>
    <phoneticPr fontId="10"/>
  </si>
  <si>
    <t>確認項目内容</t>
    <rPh sb="0" eb="2">
      <t>カクニン</t>
    </rPh>
    <rPh sb="2" eb="4">
      <t>コウモク</t>
    </rPh>
    <rPh sb="4" eb="6">
      <t>ナイヨウ</t>
    </rPh>
    <phoneticPr fontId="6"/>
  </si>
  <si>
    <t>エビデンス内容</t>
    <rPh sb="5" eb="7">
      <t>ナイヨウ</t>
    </rPh>
    <phoneticPr fontId="6"/>
  </si>
  <si>
    <t>I</t>
    <phoneticPr fontId="6"/>
  </si>
  <si>
    <t>O</t>
    <phoneticPr fontId="6"/>
  </si>
  <si>
    <t>Y</t>
    <phoneticPr fontId="6"/>
  </si>
  <si>
    <t>前提条件</t>
    <rPh sb="0" eb="2">
      <t>ゼンテイ</t>
    </rPh>
    <rPh sb="2" eb="4">
      <t>ジョウケン</t>
    </rPh>
    <phoneticPr fontId="6"/>
  </si>
  <si>
    <t>・メソッドが内部設計通りに動作すること</t>
  </si>
  <si>
    <t>PK</t>
  </si>
  <si>
    <t>データパターン備考</t>
  </si>
  <si>
    <t>対象テストNo</t>
  </si>
  <si>
    <t>入力</t>
  </si>
  <si>
    <t>NULL</t>
    <phoneticPr fontId="6"/>
  </si>
  <si>
    <t>テストパターンNo</t>
    <phoneticPr fontId="6"/>
  </si>
  <si>
    <t>JUnitで確認</t>
  </si>
  <si>
    <t xml:space="preserve">・Mapperの処理分岐
・SELECT文のSELECT句
・SELECT文のWHERE句
・SELECT文の結合条件(JOIN)
・SELECT文の集約条件 (GROUP BY)
・SELECT文のORDER BY句
</t>
  </si>
  <si>
    <t>確認項目　※詳細は「単体テスト観点」を参照</t>
    <rPh sb="0" eb="2">
      <t>カクニン</t>
    </rPh>
    <rPh sb="2" eb="4">
      <t>コウモク</t>
    </rPh>
    <rPh sb="6" eb="8">
      <t>ショウサイ</t>
    </rPh>
    <rPh sb="10" eb="12">
      <t>タンタイ</t>
    </rPh>
    <rPh sb="15" eb="17">
      <t>カンテン</t>
    </rPh>
    <rPh sb="19" eb="21">
      <t>サンショウ</t>
    </rPh>
    <phoneticPr fontId="6"/>
  </si>
  <si>
    <t>テストパターン数</t>
    <rPh sb="7" eb="8">
      <t>スウ</t>
    </rPh>
    <phoneticPr fontId="6"/>
  </si>
  <si>
    <t>テストパターン数合計</t>
    <rPh sb="7" eb="8">
      <t>スウ</t>
    </rPh>
    <rPh sb="8" eb="10">
      <t>ゴウケイ</t>
    </rPh>
    <phoneticPr fontId="6"/>
  </si>
  <si>
    <t>parameterType</t>
    <phoneticPr fontId="6"/>
  </si>
  <si>
    <t>resultType</t>
    <phoneticPr fontId="6"/>
  </si>
  <si>
    <t>ホクレン</t>
    <phoneticPr fontId="6"/>
  </si>
  <si>
    <t>統合会計システム</t>
    <rPh sb="0" eb="2">
      <t>トウゴウ</t>
    </rPh>
    <rPh sb="2" eb="4">
      <t>カイケイ</t>
    </rPh>
    <phoneticPr fontId="6"/>
  </si>
  <si>
    <t>XXXXXXXXXX</t>
    <phoneticPr fontId="6"/>
  </si>
  <si>
    <t>YYYY/MM/DD</t>
    <phoneticPr fontId="6"/>
  </si>
  <si>
    <t>－</t>
  </si>
  <si>
    <t>－</t>
    <phoneticPr fontId="6"/>
  </si>
  <si>
    <r>
      <t xml:space="preserve">単体テスト仕様書兼結果報告書
</t>
    </r>
    <r>
      <rPr>
        <b/>
        <sz val="22"/>
        <rFont val="ＭＳ Ｐゴシック"/>
        <family val="3"/>
        <charset val="128"/>
      </rPr>
      <t>（第1.0版）</t>
    </r>
    <rPh sb="16" eb="17">
      <t>ダイ</t>
    </rPh>
    <rPh sb="20" eb="21">
      <t>ハン</t>
    </rPh>
    <phoneticPr fontId="6"/>
  </si>
  <si>
    <t>処理結果情報</t>
  </si>
  <si>
    <t>ジョブ名称中間一致(トスで検索)</t>
    <phoneticPr fontId="6"/>
  </si>
  <si>
    <t>ジョブ名称前方一致(トスで検索)</t>
    <phoneticPr fontId="6"/>
  </si>
  <si>
    <t>ジョブ名称後方一致(トスで検索)</t>
    <phoneticPr fontId="6"/>
  </si>
  <si>
    <t>連動元システム管理コード一致</t>
    <phoneticPr fontId="6"/>
  </si>
  <si>
    <t>連動先システム管理コード一致</t>
    <rPh sb="2" eb="3">
      <t>サキ</t>
    </rPh>
    <phoneticPr fontId="6"/>
  </si>
  <si>
    <t>削除区分_x000D_
SAKZYO_KBN</t>
  </si>
  <si>
    <t>排他カウンタ_x000D_
HAITA_CNT</t>
  </si>
  <si>
    <t>作成日時_x000D_
SAKSE_DTM</t>
  </si>
  <si>
    <t>最終更新日時_x000D_
LSTUPD_DTM</t>
  </si>
  <si>
    <t>最終更新者ユーザーＩＤ_x000D_
LSTUPD_USER_ID</t>
  </si>
  <si>
    <t>ジョブＩＤ_x000D_
JOB_ID</t>
  </si>
  <si>
    <t>ジョブ名称_x000D_
JOB_MEISHO</t>
  </si>
  <si>
    <t>開始日時_x000D_
KAISHI_DTM</t>
  </si>
  <si>
    <t>終了日時_x000D_
SHURYO_DTM</t>
  </si>
  <si>
    <t>ステータス_x000D_
STATUS</t>
  </si>
  <si>
    <t>レコード件数_x000D_
RECORD_KENSU</t>
  </si>
  <si>
    <t>エラー件数_x000D_
ERROR_KENSU</t>
  </si>
  <si>
    <t>連動元システム管理コード_x000D_
RENDOMOTO_SYSTEM_KANRI_CD</t>
  </si>
  <si>
    <t>連動先システム管理コード_x000D_
RENDOSAKI_SYSTEM_KANRI_CD</t>
  </si>
  <si>
    <t>0</t>
  </si>
  <si>
    <t>2</t>
  </si>
  <si>
    <t>USER01</t>
  </si>
  <si>
    <t>DAA</t>
  </si>
  <si>
    <t>DAB</t>
  </si>
  <si>
    <t>1</t>
  </si>
  <si>
    <t>DAA441_ShoriKekkaJoho</t>
    <phoneticPr fontId="6"/>
  </si>
  <si>
    <t>DAA425_KaikeiCdMst</t>
    <phoneticPr fontId="6"/>
  </si>
  <si>
    <t>会計コードマスタ</t>
    <phoneticPr fontId="6"/>
  </si>
  <si>
    <t>V_AQA062_CddatMst</t>
    <phoneticPr fontId="6"/>
  </si>
  <si>
    <t>V_コードデータマスタ</t>
    <phoneticPr fontId="6"/>
  </si>
  <si>
    <t>PK</t>
    <phoneticPr fontId="6"/>
  </si>
  <si>
    <r>
      <t xml:space="preserve">会計コードマスタ.コードにステータスが存在しない
</t>
    </r>
    <r>
      <rPr>
        <sz val="11"/>
        <color rgb="FF0000FF"/>
        <rFont val="ＭＳ 明朝"/>
        <family val="1"/>
        <charset val="128"/>
      </rPr>
      <t>取得対象データ</t>
    </r>
    <rPh sb="19" eb="21">
      <t>ソンザイ</t>
    </rPh>
    <rPh sb="25" eb="27">
      <t>シュトク</t>
    </rPh>
    <rPh sb="27" eb="29">
      <t>タイショウ</t>
    </rPh>
    <phoneticPr fontId="6"/>
  </si>
  <si>
    <r>
      <t xml:space="preserve">対象期間From(過去のデータ)
</t>
    </r>
    <r>
      <rPr>
        <sz val="11"/>
        <color rgb="FFFF0000"/>
        <rFont val="ＭＳ 明朝"/>
        <family val="1"/>
        <charset val="128"/>
      </rPr>
      <t>検索条件不一致データ</t>
    </r>
    <rPh sb="0" eb="2">
      <t>タイショウ</t>
    </rPh>
    <rPh sb="2" eb="4">
      <t>キカン</t>
    </rPh>
    <rPh sb="9" eb="11">
      <t>カコ</t>
    </rPh>
    <rPh sb="17" eb="19">
      <t>ケンサク</t>
    </rPh>
    <rPh sb="19" eb="21">
      <t>ジョウケン</t>
    </rPh>
    <rPh sb="21" eb="24">
      <t>フイッチ</t>
    </rPh>
    <phoneticPr fontId="6"/>
  </si>
  <si>
    <r>
      <t xml:space="preserve">対象期間From(未来のデータ)
</t>
    </r>
    <r>
      <rPr>
        <sz val="11"/>
        <color rgb="FFFF0000"/>
        <rFont val="ＭＳ 明朝"/>
        <family val="1"/>
        <charset val="128"/>
      </rPr>
      <t>検索条件不一致データ</t>
    </r>
    <rPh sb="0" eb="2">
      <t>タイショウ</t>
    </rPh>
    <rPh sb="2" eb="4">
      <t>キカン</t>
    </rPh>
    <rPh sb="9" eb="11">
      <t>ミライ</t>
    </rPh>
    <phoneticPr fontId="6"/>
  </si>
  <si>
    <t>コード分類_x000D_
CD_BUNRUI</t>
  </si>
  <si>
    <t>コード分類名称_x000D_
CD_BUNRUI_MEISHO</t>
  </si>
  <si>
    <t>桁数_x000D_
KETASU</t>
  </si>
  <si>
    <t>摘要_x000D_
TEKIYO</t>
  </si>
  <si>
    <t>コード_x000D_
CD</t>
  </si>
  <si>
    <t>適用開始日_x000D_
TEKIYO_KAISHIBI</t>
  </si>
  <si>
    <t>適用終了日_x000D_
TEKIYO_SHURYOBI</t>
  </si>
  <si>
    <t>名称_x000D_
MEISHO</t>
  </si>
  <si>
    <t>英語名称_x000D_
EIGO_MEISHO</t>
  </si>
  <si>
    <t>属性０１_x000D_
ZOKUSEI_01</t>
  </si>
  <si>
    <t>属性０２_x000D_
ZOKUSEI_02</t>
  </si>
  <si>
    <t>属性０３_x000D_
ZOKUSEI_03</t>
  </si>
  <si>
    <t>属性０４_x000D_
ZOKUSEI_04</t>
  </si>
  <si>
    <t>属性０５_x000D_
ZOKUSEI_05</t>
  </si>
  <si>
    <t>属性０６_x000D_
ZOKUSEI_06</t>
  </si>
  <si>
    <t>属性０７_x000D_
ZOKUSEI_07</t>
  </si>
  <si>
    <t>属性０８_x000D_
ZOKUSEI_08</t>
  </si>
  <si>
    <t>属性０９_x000D_
ZOKUSEI_09</t>
  </si>
  <si>
    <t>属性１０_x000D_
ZOKUSEI_10</t>
  </si>
  <si>
    <t>属性１１_x000D_
ZOKUSEI_11</t>
  </si>
  <si>
    <t>属性１２_x000D_
ZOKUSEI_12</t>
  </si>
  <si>
    <t>属性１３_x000D_
ZOKUSEI_13</t>
  </si>
  <si>
    <t>属性１４_x000D_
ZOKUSEI_14</t>
  </si>
  <si>
    <t>属性１５_x000D_
ZOKUSEI_15</t>
  </si>
  <si>
    <t>属性１６_x000D_
ZOKUSEI_16</t>
  </si>
  <si>
    <t>属性１７_x000D_
ZOKUSEI_17</t>
  </si>
  <si>
    <t>属性１８_x000D_
ZOKUSEI_18</t>
  </si>
  <si>
    <t>属性１９_x000D_
ZOKUSEI_19</t>
  </si>
  <si>
    <t>属性２０_x000D_
ZOKUSEI_20</t>
  </si>
  <si>
    <t>属性２１_x000D_
ZOKUSEI_21</t>
  </si>
  <si>
    <t>属性２２_x000D_
ZOKUSEI_22</t>
  </si>
  <si>
    <t>属性２３_x000D_
ZOKUSEI_23</t>
  </si>
  <si>
    <t>属性２４_x000D_
ZOKUSEI_24</t>
  </si>
  <si>
    <t>属性２５_x000D_
ZOKUSEI_25</t>
  </si>
  <si>
    <t>属性２６_x000D_
ZOKUSEI_26</t>
  </si>
  <si>
    <t>属性２７_x000D_
ZOKUSEI_27</t>
  </si>
  <si>
    <t>属性２８_x000D_
ZOKUSEI_28</t>
  </si>
  <si>
    <t>属性２９_x000D_
ZOKUSEI_29</t>
  </si>
  <si>
    <t>属性３０_x000D_
ZOKUSEI_30</t>
  </si>
  <si>
    <t>ADMIN</t>
  </si>
  <si>
    <t>処理結果ステータス</t>
  </si>
  <si>
    <t>« NULL »</t>
  </si>
  <si>
    <t>成功</t>
  </si>
  <si>
    <t>SUCCESS</t>
  </si>
  <si>
    <t>エラー</t>
  </si>
  <si>
    <t>ERROR</t>
  </si>
  <si>
    <t>警告</t>
  </si>
  <si>
    <t>WARNING</t>
  </si>
  <si>
    <t>最終更新者ユーザーID_x000D_
LSTUPD_USER_ID</t>
  </si>
  <si>
    <t>入力日時_x000D_
NYURYOKU_DTM</t>
  </si>
  <si>
    <t>入力者ユーザーID_x000D_
NYURYOKU_USER_ID</t>
  </si>
  <si>
    <t>承認日時_x000D_
SHONIN_DTM</t>
  </si>
  <si>
    <t>承認者ユーザーID_x000D_
SHONIN_USER_ID</t>
  </si>
  <si>
    <t>コード種別コード_x000D_
CDSBT_CD</t>
  </si>
  <si>
    <t>コードデータコード_x000D_
CDDAT_CD</t>
  </si>
  <si>
    <t>適用開始年月日_x000D_
TEKIYO_KAISHIBI</t>
  </si>
  <si>
    <t>適用終了年月日_x000D_
TEKIYO_SHURYOBI</t>
  </si>
  <si>
    <t>コード名称（漢字）_x000D_
CODE_MEI_KJ</t>
  </si>
  <si>
    <t>コード名称（カナ）_x000D_
CODE_MEI_KN</t>
  </si>
  <si>
    <t>コード名称（英数）_x000D_
CODE_MEI_ES</t>
  </si>
  <si>
    <t xml:space="preserve">DAA  </t>
  </si>
  <si>
    <t>統合会計共通</t>
  </si>
  <si>
    <t>ﾄｳｺﾞｳｶｲｹｲｷｮｳﾂｳ</t>
  </si>
  <si>
    <t>100002</t>
  </si>
  <si>
    <t xml:space="preserve">DAB  </t>
  </si>
  <si>
    <t>会計統合システム</t>
  </si>
  <si>
    <t>ｶｲｹｲﾄｳｺﾞｳｼｽﾃﾑ</t>
  </si>
  <si>
    <r>
      <t>V_コードデータマスタ.コードデータコードに連動</t>
    </r>
    <r>
      <rPr>
        <sz val="11"/>
        <color rgb="FFFF0000"/>
        <rFont val="ＭＳ 明朝"/>
        <family val="1"/>
        <charset val="128"/>
      </rPr>
      <t>先</t>
    </r>
    <r>
      <rPr>
        <sz val="11"/>
        <rFont val="ＭＳ 明朝"/>
        <family val="1"/>
        <charset val="128"/>
      </rPr>
      <t xml:space="preserve">システム管理コードが存在しない
</t>
    </r>
    <r>
      <rPr>
        <sz val="11"/>
        <color rgb="FF0000FF"/>
        <rFont val="ＭＳ 明朝"/>
        <family val="1"/>
        <charset val="128"/>
      </rPr>
      <t>取得対象データ</t>
    </r>
    <rPh sb="24" eb="25">
      <t>サキ</t>
    </rPh>
    <rPh sb="35" eb="37">
      <t>ソンザイ</t>
    </rPh>
    <rPh sb="41" eb="43">
      <t>シュトク</t>
    </rPh>
    <rPh sb="43" eb="45">
      <t>タイショウ</t>
    </rPh>
    <phoneticPr fontId="6"/>
  </si>
  <si>
    <r>
      <t>V_コードデータマスタ.コードデータコードに連動</t>
    </r>
    <r>
      <rPr>
        <sz val="11"/>
        <color rgb="FFFF0000"/>
        <rFont val="ＭＳ 明朝"/>
        <family val="1"/>
        <charset val="128"/>
      </rPr>
      <t>元</t>
    </r>
    <r>
      <rPr>
        <sz val="11"/>
        <rFont val="ＭＳ 明朝"/>
        <family val="1"/>
        <charset val="128"/>
      </rPr>
      <t xml:space="preserve">システム管理コードが存在しない
</t>
    </r>
    <r>
      <rPr>
        <sz val="11"/>
        <color rgb="FF0000FF"/>
        <rFont val="ＭＳ 明朝"/>
        <family val="1"/>
        <charset val="128"/>
      </rPr>
      <t>取得対象データ</t>
    </r>
    <rPh sb="35" eb="37">
      <t>ソンザイ</t>
    </rPh>
    <rPh sb="41" eb="43">
      <t>シュトク</t>
    </rPh>
    <rPh sb="43" eb="45">
      <t>タイショウ</t>
    </rPh>
    <phoneticPr fontId="6"/>
  </si>
  <si>
    <t>対象テストNo</t>
    <phoneticPr fontId="6"/>
  </si>
  <si>
    <t>データパターン備考</t>
    <phoneticPr fontId="6"/>
  </si>
  <si>
    <t>ZZZ</t>
    <phoneticPr fontId="6"/>
  </si>
  <si>
    <t>TEST_JOB1</t>
    <phoneticPr fontId="6"/>
  </si>
  <si>
    <t>TEST_JOB2</t>
  </si>
  <si>
    <t>TEST_JOB3</t>
  </si>
  <si>
    <t>TEST_JOB4</t>
  </si>
  <si>
    <t>TEST_JOB5</t>
  </si>
  <si>
    <t>TEST_JOB6</t>
  </si>
  <si>
    <t>TEST_JOB7</t>
  </si>
  <si>
    <t>TEST_JOB8</t>
  </si>
  <si>
    <t>TEST_JOB9</t>
  </si>
  <si>
    <t>TEST_JOB10</t>
  </si>
  <si>
    <t>TEST_JOB11</t>
  </si>
  <si>
    <t>TEST_JOB12</t>
  </si>
  <si>
    <t>TEST_JOB13</t>
  </si>
  <si>
    <t>TEST_JOB14</t>
  </si>
  <si>
    <t>TEST_JOB15</t>
  </si>
  <si>
    <t>TEST_JOB16</t>
  </si>
  <si>
    <t>TEST_JOB17</t>
  </si>
  <si>
    <t>DAA</t>
    <phoneticPr fontId="6"/>
  </si>
  <si>
    <t>テトスジョブ1</t>
    <phoneticPr fontId="6"/>
  </si>
  <si>
    <t>トステジョブ2</t>
    <phoneticPr fontId="6"/>
  </si>
  <si>
    <t>テジョブ3トス</t>
    <phoneticPr fontId="6"/>
  </si>
  <si>
    <t>null</t>
    <phoneticPr fontId="6"/>
  </si>
  <si>
    <t>テストジョブ5</t>
  </si>
  <si>
    <t>テストジョブ6</t>
  </si>
  <si>
    <t>テストジョブ7</t>
  </si>
  <si>
    <t>テストジョブ8</t>
  </si>
  <si>
    <t>テストジョブ9</t>
  </si>
  <si>
    <t>テストジョブ10</t>
  </si>
  <si>
    <t>テストジョブ11</t>
  </si>
  <si>
    <t>テストジョブ12</t>
  </si>
  <si>
    <t>テストジョブ13</t>
  </si>
  <si>
    <t>テストジョブ14</t>
  </si>
  <si>
    <t>テストジョブ15</t>
  </si>
  <si>
    <t>テストジョブ16</t>
  </si>
  <si>
    <t>テストジョブ17</t>
  </si>
  <si>
    <r>
      <t xml:space="preserve">正常（成功）
対象期間From(適用開始日と一致)
</t>
    </r>
    <r>
      <rPr>
        <sz val="11"/>
        <color rgb="FF0000FF"/>
        <rFont val="ＭＳ 明朝"/>
        <family val="1"/>
        <charset val="128"/>
      </rPr>
      <t>検索条件合致データ</t>
    </r>
    <rPh sb="7" eb="9">
      <t>タイショウ</t>
    </rPh>
    <rPh sb="9" eb="11">
      <t>キカン</t>
    </rPh>
    <rPh sb="16" eb="18">
      <t>テキヨウ</t>
    </rPh>
    <rPh sb="18" eb="20">
      <t>カイシ</t>
    </rPh>
    <rPh sb="20" eb="21">
      <t>ビ</t>
    </rPh>
    <rPh sb="22" eb="24">
      <t>イッチ</t>
    </rPh>
    <rPh sb="26" eb="28">
      <t>ケンサク</t>
    </rPh>
    <rPh sb="28" eb="30">
      <t>ジョウケン</t>
    </rPh>
    <rPh sb="30" eb="32">
      <t>ガッチ</t>
    </rPh>
    <phoneticPr fontId="6"/>
  </si>
  <si>
    <r>
      <t xml:space="preserve">正常（エラー）
対象期間From(適用終了日と一致)
</t>
    </r>
    <r>
      <rPr>
        <sz val="11"/>
        <color rgb="FF0000FF"/>
        <rFont val="ＭＳ 明朝"/>
        <family val="1"/>
        <charset val="128"/>
      </rPr>
      <t>検索条件合致データ</t>
    </r>
    <rPh sb="8" eb="10">
      <t>タイショウ</t>
    </rPh>
    <rPh sb="10" eb="12">
      <t>キカン</t>
    </rPh>
    <rPh sb="17" eb="19">
      <t>テキヨウ</t>
    </rPh>
    <rPh sb="19" eb="22">
      <t>シュウリョウビ</t>
    </rPh>
    <rPh sb="23" eb="25">
      <t>イッチ</t>
    </rPh>
    <phoneticPr fontId="6"/>
  </si>
  <si>
    <r>
      <t xml:space="preserve">正常（警告）
対象期間From(中間値)
</t>
    </r>
    <r>
      <rPr>
        <sz val="11"/>
        <color rgb="FF0000FF"/>
        <rFont val="ＭＳ 明朝"/>
        <family val="1"/>
        <charset val="128"/>
      </rPr>
      <t>検索条件合致データ</t>
    </r>
    <rPh sb="7" eb="9">
      <t>タイショウ</t>
    </rPh>
    <rPh sb="9" eb="11">
      <t>キカン</t>
    </rPh>
    <rPh sb="16" eb="19">
      <t>チュウカンチ</t>
    </rPh>
    <phoneticPr fontId="6"/>
  </si>
  <si>
    <r>
      <t xml:space="preserve">対象期間日時From(開始日時と一致)
</t>
    </r>
    <r>
      <rPr>
        <sz val="11"/>
        <color rgb="FF0000FF"/>
        <rFont val="ＭＳ 明朝"/>
        <family val="1"/>
        <charset val="128"/>
      </rPr>
      <t>検索条件合致データ</t>
    </r>
    <rPh sb="0" eb="2">
      <t>タイショウ</t>
    </rPh>
    <rPh sb="2" eb="4">
      <t>キカン</t>
    </rPh>
    <rPh sb="4" eb="6">
      <t>ニチジ</t>
    </rPh>
    <rPh sb="11" eb="13">
      <t>カイシ</t>
    </rPh>
    <rPh sb="13" eb="15">
      <t>ニチジ</t>
    </rPh>
    <rPh sb="16" eb="18">
      <t>イッチ</t>
    </rPh>
    <rPh sb="20" eb="22">
      <t>ケンサク</t>
    </rPh>
    <rPh sb="22" eb="24">
      <t>ジョウケン</t>
    </rPh>
    <rPh sb="24" eb="26">
      <t>ガッチ</t>
    </rPh>
    <phoneticPr fontId="6"/>
  </si>
  <si>
    <t>テストジョブ18</t>
  </si>
  <si>
    <t>TEST_JOB18</t>
  </si>
  <si>
    <r>
      <t xml:space="preserve">対象期間日時From(開始日時より小さい)
</t>
    </r>
    <r>
      <rPr>
        <sz val="11"/>
        <color rgb="FF0000FF"/>
        <rFont val="ＭＳ 明朝"/>
        <family val="1"/>
        <charset val="128"/>
      </rPr>
      <t>検索条件合致データ</t>
    </r>
    <rPh sb="0" eb="2">
      <t>タイショウ</t>
    </rPh>
    <rPh sb="2" eb="4">
      <t>キカン</t>
    </rPh>
    <rPh sb="4" eb="6">
      <t>ニチジ</t>
    </rPh>
    <rPh sb="11" eb="13">
      <t>カイシ</t>
    </rPh>
    <rPh sb="13" eb="15">
      <t>ニチジ</t>
    </rPh>
    <rPh sb="17" eb="18">
      <t>チイ</t>
    </rPh>
    <rPh sb="22" eb="24">
      <t>ケンサク</t>
    </rPh>
    <rPh sb="24" eb="26">
      <t>ジョウケン</t>
    </rPh>
    <rPh sb="26" eb="28">
      <t>ガッチ</t>
    </rPh>
    <phoneticPr fontId="6"/>
  </si>
  <si>
    <r>
      <t xml:space="preserve">対象期間日時From(開始日時より大きい)
</t>
    </r>
    <r>
      <rPr>
        <sz val="11"/>
        <color rgb="FFFF0000"/>
        <rFont val="ＭＳ 明朝"/>
        <family val="1"/>
        <charset val="128"/>
      </rPr>
      <t>検索条件不一致データ</t>
    </r>
    <rPh sb="0" eb="2">
      <t>タイショウ</t>
    </rPh>
    <rPh sb="2" eb="4">
      <t>キカン</t>
    </rPh>
    <rPh sb="4" eb="6">
      <t>ニチジ</t>
    </rPh>
    <rPh sb="11" eb="13">
      <t>カイシ</t>
    </rPh>
    <rPh sb="13" eb="15">
      <t>ニチジ</t>
    </rPh>
    <rPh sb="17" eb="18">
      <t>オオ</t>
    </rPh>
    <phoneticPr fontId="6"/>
  </si>
  <si>
    <r>
      <t xml:space="preserve">対象期間日時From(終了日時より小さい)
</t>
    </r>
    <r>
      <rPr>
        <sz val="11"/>
        <color rgb="FF0000FF"/>
        <rFont val="ＭＳ 明朝"/>
        <family val="1"/>
        <charset val="128"/>
      </rPr>
      <t>検索条件合致データ</t>
    </r>
    <rPh sb="0" eb="2">
      <t>タイショウ</t>
    </rPh>
    <rPh sb="2" eb="4">
      <t>キカン</t>
    </rPh>
    <rPh sb="4" eb="6">
      <t>ニチジ</t>
    </rPh>
    <rPh sb="13" eb="15">
      <t>ニチジ</t>
    </rPh>
    <rPh sb="17" eb="18">
      <t>チイ</t>
    </rPh>
    <rPh sb="22" eb="24">
      <t>ケンサク</t>
    </rPh>
    <rPh sb="24" eb="26">
      <t>ジョウケン</t>
    </rPh>
    <rPh sb="26" eb="28">
      <t>ガッチ</t>
    </rPh>
    <phoneticPr fontId="6"/>
  </si>
  <si>
    <r>
      <t xml:space="preserve">対象期間日時From(終了日時と一致)
</t>
    </r>
    <r>
      <rPr>
        <sz val="11"/>
        <color rgb="FFFF0000"/>
        <rFont val="ＭＳ 明朝"/>
        <family val="1"/>
        <charset val="128"/>
      </rPr>
      <t>検索条件不一致データ</t>
    </r>
    <rPh sb="0" eb="2">
      <t>タイショウ</t>
    </rPh>
    <rPh sb="2" eb="4">
      <t>キカン</t>
    </rPh>
    <rPh sb="4" eb="6">
      <t>ニチジ</t>
    </rPh>
    <rPh sb="13" eb="15">
      <t>ニチジ</t>
    </rPh>
    <rPh sb="16" eb="18">
      <t>イッチ</t>
    </rPh>
    <rPh sb="20" eb="22">
      <t>ケンサク</t>
    </rPh>
    <rPh sb="22" eb="24">
      <t>ジョウケン</t>
    </rPh>
    <rPh sb="24" eb="27">
      <t>フイッチ</t>
    </rPh>
    <phoneticPr fontId="6"/>
  </si>
  <si>
    <r>
      <t xml:space="preserve">対象期間日時From(終了日時より大きい)
</t>
    </r>
    <r>
      <rPr>
        <sz val="11"/>
        <color rgb="FFFF0000"/>
        <rFont val="ＭＳ 明朝"/>
        <family val="1"/>
        <charset val="128"/>
      </rPr>
      <t>検索条件不一致データ</t>
    </r>
    <rPh sb="0" eb="2">
      <t>タイショウ</t>
    </rPh>
    <rPh sb="2" eb="4">
      <t>キカン</t>
    </rPh>
    <rPh sb="4" eb="6">
      <t>ニチジ</t>
    </rPh>
    <rPh sb="13" eb="15">
      <t>ニチジ</t>
    </rPh>
    <rPh sb="17" eb="18">
      <t>オオ</t>
    </rPh>
    <rPh sb="22" eb="24">
      <t>ケンサク</t>
    </rPh>
    <rPh sb="24" eb="26">
      <t>ジョウケン</t>
    </rPh>
    <rPh sb="26" eb="29">
      <t>フイッチ</t>
    </rPh>
    <phoneticPr fontId="6"/>
  </si>
  <si>
    <r>
      <t xml:space="preserve">正常
対象期間From(適用終了年月日と一致)
</t>
    </r>
    <r>
      <rPr>
        <sz val="11"/>
        <color rgb="FF0000FF"/>
        <rFont val="ＭＳ 明朝"/>
        <family val="1"/>
        <charset val="128"/>
      </rPr>
      <t>検索条件合致データ</t>
    </r>
    <rPh sb="3" eb="5">
      <t>タイショウ</t>
    </rPh>
    <rPh sb="5" eb="7">
      <t>キカン</t>
    </rPh>
    <rPh sb="12" eb="14">
      <t>テキヨウ</t>
    </rPh>
    <rPh sb="14" eb="16">
      <t>シュウリョウ</t>
    </rPh>
    <rPh sb="16" eb="19">
      <t>ネンガッピ</t>
    </rPh>
    <rPh sb="20" eb="22">
      <t>イッチ</t>
    </rPh>
    <phoneticPr fontId="6"/>
  </si>
  <si>
    <r>
      <t xml:space="preserve">正常
対象期間From(適用開始年月日と一致)
</t>
    </r>
    <r>
      <rPr>
        <sz val="11"/>
        <color rgb="FF0000FF"/>
        <rFont val="ＭＳ 明朝"/>
        <family val="1"/>
        <charset val="128"/>
      </rPr>
      <t>検索条件合致データ</t>
    </r>
    <rPh sb="3" eb="5">
      <t>タイショウ</t>
    </rPh>
    <rPh sb="5" eb="7">
      <t>キカン</t>
    </rPh>
    <rPh sb="12" eb="14">
      <t>テキヨウ</t>
    </rPh>
    <rPh sb="14" eb="16">
      <t>カイシ</t>
    </rPh>
    <rPh sb="16" eb="18">
      <t>ネンゲツ</t>
    </rPh>
    <rPh sb="18" eb="19">
      <t>ビ</t>
    </rPh>
    <rPh sb="20" eb="22">
      <t>イッチ</t>
    </rPh>
    <rPh sb="24" eb="26">
      <t>ケンサク</t>
    </rPh>
    <rPh sb="26" eb="28">
      <t>ジョウケン</t>
    </rPh>
    <rPh sb="28" eb="30">
      <t>ガッチ</t>
    </rPh>
    <phoneticPr fontId="6"/>
  </si>
  <si>
    <t>連動元システム管理コードテスト</t>
    <rPh sb="7" eb="9">
      <t>カンリ</t>
    </rPh>
    <phoneticPr fontId="6"/>
  </si>
  <si>
    <t>ﾚﾝﾄﾞｳﾓﾄｼｽﾃﾑｶﾝﾘｺｰﾄﾞﾃｽﾄ</t>
    <phoneticPr fontId="6"/>
  </si>
  <si>
    <t>テストジョブ4</t>
  </si>
  <si>
    <t>9</t>
  </si>
  <si>
    <t>1</t>
    <phoneticPr fontId="6"/>
  </si>
  <si>
    <t>3</t>
    <phoneticPr fontId="6"/>
  </si>
  <si>
    <t>2</t>
    <phoneticPr fontId="6"/>
  </si>
  <si>
    <t>5</t>
    <phoneticPr fontId="6"/>
  </si>
  <si>
    <t>4</t>
    <phoneticPr fontId="6"/>
  </si>
  <si>
    <t>6</t>
    <phoneticPr fontId="6"/>
  </si>
  <si>
    <t>TST</t>
  </si>
  <si>
    <t>TST</t>
    <phoneticPr fontId="6"/>
  </si>
  <si>
    <t>2,3</t>
    <phoneticPr fontId="6"/>
  </si>
  <si>
    <r>
      <t>正常
（連動</t>
    </r>
    <r>
      <rPr>
        <sz val="11"/>
        <color rgb="FFFF0000"/>
        <rFont val="ＭＳ 明朝"/>
        <family val="1"/>
        <charset val="128"/>
      </rPr>
      <t>元</t>
    </r>
    <r>
      <rPr>
        <sz val="11"/>
        <rFont val="ＭＳ 明朝"/>
        <family val="1"/>
        <charset val="128"/>
      </rPr>
      <t>システム管理コード、連動</t>
    </r>
    <r>
      <rPr>
        <sz val="11"/>
        <color rgb="FFFF0000"/>
        <rFont val="ＭＳ 明朝"/>
        <family val="1"/>
        <charset val="128"/>
      </rPr>
      <t>先</t>
    </r>
    <r>
      <rPr>
        <sz val="11"/>
        <rFont val="ＭＳ 明朝"/>
        <family val="1"/>
        <charset val="128"/>
      </rPr>
      <t xml:space="preserve">システム管理コード一致）
対象期間From(中間値)
</t>
    </r>
    <r>
      <rPr>
        <sz val="11"/>
        <color rgb="FF0000FF"/>
        <rFont val="ＭＳ 明朝"/>
        <family val="1"/>
        <charset val="128"/>
      </rPr>
      <t>検索条件合致データ</t>
    </r>
    <rPh sb="4" eb="6">
      <t>レンドウ</t>
    </rPh>
    <rPh sb="6" eb="7">
      <t>モト</t>
    </rPh>
    <rPh sb="11" eb="13">
      <t>カンリ</t>
    </rPh>
    <rPh sb="19" eb="20">
      <t>サキ</t>
    </rPh>
    <rPh sb="29" eb="31">
      <t>イッチ</t>
    </rPh>
    <rPh sb="40" eb="42">
      <t>タイショウ</t>
    </rPh>
    <rPh sb="42" eb="44">
      <t>キカン</t>
    </rPh>
    <rPh sb="49" eb="52">
      <t>チュウカンチ</t>
    </rPh>
    <phoneticPr fontId="6"/>
  </si>
  <si>
    <t>4,5</t>
    <phoneticPr fontId="6"/>
  </si>
  <si>
    <t>6,9,10</t>
    <phoneticPr fontId="6"/>
  </si>
  <si>
    <t>7,8,9,10</t>
    <phoneticPr fontId="6"/>
  </si>
  <si>
    <t>8,10</t>
    <phoneticPr fontId="6"/>
  </si>
  <si>
    <t>1~10</t>
    <phoneticPr fontId="6"/>
  </si>
  <si>
    <r>
      <t xml:space="preserve">コード分類="999999"（[定数.コード分類.処理結果ステータス] 以外）
</t>
    </r>
    <r>
      <rPr>
        <sz val="11"/>
        <color rgb="FFFF0000"/>
        <rFont val="ＭＳ 明朝"/>
        <family val="1"/>
        <charset val="128"/>
      </rPr>
      <t xml:space="preserve">取得対象外データ
</t>
    </r>
    <rPh sb="3" eb="5">
      <t>ブンルイ</t>
    </rPh>
    <rPh sb="36" eb="38">
      <t>イガイ</t>
    </rPh>
    <rPh sb="40" eb="42">
      <t>シュトク</t>
    </rPh>
    <rPh sb="42" eb="45">
      <t>タイショウガイ</t>
    </rPh>
    <phoneticPr fontId="6"/>
  </si>
  <si>
    <r>
      <t xml:space="preserve">削除区分="1"（[定数.削除区分.有効]以外）
</t>
    </r>
    <r>
      <rPr>
        <sz val="11"/>
        <color rgb="FFFF0000"/>
        <rFont val="ＭＳ 明朝"/>
        <family val="1"/>
        <charset val="128"/>
      </rPr>
      <t xml:space="preserve">取得対象外データ
</t>
    </r>
    <rPh sb="21" eb="23">
      <t>イガイ</t>
    </rPh>
    <rPh sb="25" eb="27">
      <t>シュトク</t>
    </rPh>
    <rPh sb="27" eb="30">
      <t>タイショウガイ</t>
    </rPh>
    <phoneticPr fontId="6"/>
  </si>
  <si>
    <r>
      <t xml:space="preserve">コード種別コード="999999"（[定数.コード分類.連動元システムコード]以外）
</t>
    </r>
    <r>
      <rPr>
        <sz val="11"/>
        <color rgb="FFFF0000"/>
        <rFont val="ＭＳ 明朝"/>
        <family val="1"/>
        <charset val="128"/>
      </rPr>
      <t xml:space="preserve">取得対象外データ
</t>
    </r>
    <rPh sb="3" eb="5">
      <t>シュベツ</t>
    </rPh>
    <rPh sb="39" eb="41">
      <t>イガイ</t>
    </rPh>
    <rPh sb="43" eb="45">
      <t>シュトク</t>
    </rPh>
    <rPh sb="45" eb="48">
      <t>タイショウガイ</t>
    </rPh>
    <phoneticPr fontId="6"/>
  </si>
  <si>
    <t>ステータス="2"（[定数.処理結果ステータス.警告]）</t>
    <phoneticPr fontId="6"/>
  </si>
  <si>
    <t>ステータス="1"（[定数.処理結果ステータス.エラー]）</t>
    <phoneticPr fontId="6"/>
  </si>
  <si>
    <t>ステータス="0"（[定数.処理結果ステータス.成功] ）</t>
    <phoneticPr fontId="6"/>
  </si>
  <si>
    <t>組織コード</t>
    <phoneticPr fontId="6"/>
  </si>
  <si>
    <t>基準日</t>
    <phoneticPr fontId="6"/>
  </si>
  <si>
    <t>適用終了日</t>
  </si>
  <si>
    <t>3</t>
  </si>
  <si>
    <t>4</t>
  </si>
  <si>
    <t>5</t>
  </si>
  <si>
    <t>6</t>
  </si>
  <si>
    <t>7</t>
  </si>
  <si>
    <t>2023-10-27-10.00.00.000000</t>
  </si>
  <si>
    <t>ADMIN001</t>
  </si>
  <si>
    <t>USER0001</t>
  </si>
  <si>
    <t>2023-10-27-11.00.00.000000</t>
  </si>
  <si>
    <t>APRV0001</t>
  </si>
  <si>
    <t>SAKZYO_KBN</t>
  </si>
  <si>
    <t>HAITA_CNT</t>
  </si>
  <si>
    <t>SAKSE_DTM</t>
  </si>
  <si>
    <t>LSTUPD_DTM</t>
  </si>
  <si>
    <t>LSTUPD_USER_ID</t>
  </si>
  <si>
    <t>NYURYOKU_DTM</t>
  </si>
  <si>
    <t>NYURYOKU_USER_ID</t>
  </si>
  <si>
    <t>SHONIN_DTM</t>
  </si>
  <si>
    <t>SHONIN_USER_ID</t>
  </si>
  <si>
    <t>GYOSHU_CD</t>
  </si>
  <si>
    <t>TEKIYO_KAISHIBI</t>
  </si>
  <si>
    <t>TEKIYO_SHURYOBI</t>
  </si>
  <si>
    <t>SHINSEI_NO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</si>
  <si>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</si>
  <si>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</si>
  <si>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</si>
  <si>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</si>
  <si>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</si>
  <si>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</si>
  <si>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</si>
  <si>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</si>
  <si>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</si>
  <si>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削除区分</t>
  </si>
  <si>
    <t>CHAR</t>
  </si>
  <si>
    <t>Y</t>
  </si>
  <si>
    <t>排他カウンタ</t>
  </si>
  <si>
    <t>INTEGER</t>
  </si>
  <si>
    <t>作成日時</t>
  </si>
  <si>
    <t>TIMESTAMP</t>
  </si>
  <si>
    <t>最終更新日時</t>
  </si>
  <si>
    <t>最終更新者ユーザーＩＤ</t>
  </si>
  <si>
    <t>VARCHAR</t>
  </si>
  <si>
    <t>入力日時</t>
  </si>
  <si>
    <t>入力者ユーザーＩＤ</t>
  </si>
  <si>
    <t>承認日時</t>
  </si>
  <si>
    <t>承認者ユーザーＩＤ</t>
  </si>
  <si>
    <t>業種コード</t>
  </si>
  <si>
    <t>適用開始日</t>
  </si>
  <si>
    <t>申請番号</t>
  </si>
  <si>
    <t>項目名称（日本語）</t>
    <phoneticPr fontId="4"/>
  </si>
  <si>
    <t>削除区分</t>
    <phoneticPr fontId="4"/>
  </si>
  <si>
    <t>排他カウンタ</t>
    <phoneticPr fontId="4"/>
  </si>
  <si>
    <t>作成日時</t>
    <phoneticPr fontId="4"/>
  </si>
  <si>
    <t>最終更新日時</t>
    <phoneticPr fontId="4"/>
  </si>
  <si>
    <t>最終更新者ユーザーＩＤ</t>
    <phoneticPr fontId="4"/>
  </si>
  <si>
    <t>入力日時</t>
    <phoneticPr fontId="4"/>
  </si>
  <si>
    <t>入力者ユーザーＩＤ</t>
    <phoneticPr fontId="4"/>
  </si>
  <si>
    <t>承認日時</t>
    <phoneticPr fontId="4"/>
  </si>
  <si>
    <t>承認者ユーザーＩＤ</t>
    <phoneticPr fontId="4"/>
  </si>
  <si>
    <t>組織コード</t>
    <phoneticPr fontId="4"/>
  </si>
  <si>
    <t>業種コード</t>
    <phoneticPr fontId="4"/>
  </si>
  <si>
    <t>適用開始日</t>
    <phoneticPr fontId="4"/>
  </si>
  <si>
    <t>適用終了日</t>
    <phoneticPr fontId="4"/>
  </si>
  <si>
    <t>申請番号</t>
    <phoneticPr fontId="4"/>
  </si>
  <si>
    <t>項目名称（英字）＊</t>
    <phoneticPr fontId="4"/>
  </si>
  <si>
    <t>SAKZYO_KBN</t>
    <phoneticPr fontId="4"/>
  </si>
  <si>
    <t>HAITA_CNT</t>
    <phoneticPr fontId="4"/>
  </si>
  <si>
    <t>SAKSE_DTM</t>
    <phoneticPr fontId="4"/>
  </si>
  <si>
    <t>LSTUPD_DTM</t>
    <phoneticPr fontId="4"/>
  </si>
  <si>
    <t>LSTUPD_USER_ID</t>
    <phoneticPr fontId="4"/>
  </si>
  <si>
    <t>NYURYOKU_DTM</t>
    <phoneticPr fontId="4"/>
  </si>
  <si>
    <t>NYURYOKU_USER_ID</t>
    <phoneticPr fontId="4"/>
  </si>
  <si>
    <t>SHONIN_DTM</t>
    <phoneticPr fontId="4"/>
  </si>
  <si>
    <t>SHONIN_USER_ID</t>
    <phoneticPr fontId="4"/>
  </si>
  <si>
    <t>SOSHIKI_CD</t>
    <phoneticPr fontId="4"/>
  </si>
  <si>
    <t>GYOSHU_CD</t>
    <phoneticPr fontId="4"/>
  </si>
  <si>
    <t>TEKIYO_KAISHIBI</t>
    <phoneticPr fontId="4"/>
  </si>
  <si>
    <t>TEKIYO_SHURYOBI</t>
    <phoneticPr fontId="4"/>
  </si>
  <si>
    <t>SHINSEI_NO</t>
    <phoneticPr fontId="4"/>
  </si>
  <si>
    <t>データ型</t>
    <phoneticPr fontId="4"/>
  </si>
  <si>
    <t>CHAR</t>
    <phoneticPr fontId="4"/>
  </si>
  <si>
    <t>INTEGER</t>
    <phoneticPr fontId="4"/>
  </si>
  <si>
    <t>TIMESTAMP</t>
    <phoneticPr fontId="4"/>
  </si>
  <si>
    <t>VARCHAR</t>
    <phoneticPr fontId="4"/>
  </si>
  <si>
    <t>桁数</t>
    <phoneticPr fontId="4"/>
  </si>
  <si>
    <t>小数点以下</t>
    <phoneticPr fontId="4"/>
  </si>
  <si>
    <t>符号</t>
    <phoneticPr fontId="4"/>
  </si>
  <si>
    <t>Pｷｰ*</t>
    <phoneticPr fontId="4"/>
  </si>
  <si>
    <t>初期値*</t>
    <phoneticPr fontId="4"/>
  </si>
  <si>
    <t>NN*</t>
    <phoneticPr fontId="4"/>
  </si>
  <si>
    <t>Y</t>
    <phoneticPr fontId="4"/>
  </si>
  <si>
    <t>2025-04-01-08.30.00.000000</t>
  </si>
  <si>
    <t>USR00001</t>
  </si>
  <si>
    <t>2025-04-01-08.20.00.000000</t>
  </si>
  <si>
    <t>2025-04-01-09.10.00.000000</t>
  </si>
  <si>
    <t>APR00001</t>
  </si>
  <si>
    <t>WF20250401000001</t>
  </si>
  <si>
    <r>
      <t>NULL</t>
    </r>
    <r>
      <rPr>
        <sz val="10"/>
        <rFont val="ＭＳ Ｐゴシック"/>
        <family val="3"/>
        <charset val="128"/>
      </rPr>
      <t>以外</t>
    </r>
    <rPh sb="4" eb="6">
      <t>イガイ</t>
    </rPh>
    <phoneticPr fontId="6"/>
  </si>
  <si>
    <t>TC01</t>
    <phoneticPr fontId="4"/>
  </si>
  <si>
    <t>TC02</t>
  </si>
  <si>
    <t>TC03</t>
  </si>
  <si>
    <t>TC04</t>
  </si>
  <si>
    <t>TC05</t>
  </si>
  <si>
    <t>soshikiCd</t>
    <phoneticPr fontId="6"/>
  </si>
  <si>
    <t>1010</t>
    <phoneticPr fontId="6"/>
  </si>
  <si>
    <t>java.util.Map</t>
    <phoneticPr fontId="6"/>
  </si>
  <si>
    <t>String</t>
  </si>
  <si>
    <t>String</t>
    <phoneticPr fontId="6"/>
  </si>
  <si>
    <t>期待値</t>
    <rPh sb="0" eb="3">
      <t>キタイチ</t>
    </rPh>
    <phoneticPr fontId="6"/>
  </si>
  <si>
    <t>TC01</t>
    <phoneticPr fontId="6"/>
  </si>
  <si>
    <t>ケースNo</t>
    <phoneticPr fontId="6"/>
  </si>
  <si>
    <t>caseNo</t>
    <phoneticPr fontId="6"/>
  </si>
  <si>
    <t>20250501</t>
    <phoneticPr fontId="6"/>
  </si>
  <si>
    <t>TC02</t>
    <phoneticPr fontId="6"/>
  </si>
  <si>
    <t>TC03</t>
    <phoneticPr fontId="6"/>
  </si>
  <si>
    <t>TC04</t>
    <phoneticPr fontId="6"/>
  </si>
  <si>
    <t>TC05</t>
    <phoneticPr fontId="6"/>
  </si>
  <si>
    <t>TC06</t>
    <phoneticPr fontId="6"/>
  </si>
  <si>
    <t>20250403</t>
    <phoneticPr fontId="6"/>
  </si>
  <si>
    <t>20261202</t>
    <phoneticPr fontId="6"/>
  </si>
  <si>
    <t>20250404</t>
    <phoneticPr fontId="6"/>
  </si>
  <si>
    <t>20261201</t>
    <phoneticPr fontId="6"/>
  </si>
  <si>
    <t>テストデータ期待値（No.1）シートTC01
の処理結果照会Dtoと同様のデータが返却されること</t>
    <phoneticPr fontId="6"/>
  </si>
  <si>
    <r>
      <t>テストデータ期待値（No.1）シートTC02
の処理結果照会Dtoと同様のデータが返却されること</t>
    </r>
    <r>
      <rPr>
        <sz val="10"/>
        <rFont val="ＭＳ Ｐゴシック"/>
        <family val="3"/>
        <charset val="128"/>
      </rPr>
      <t/>
    </r>
  </si>
  <si>
    <r>
      <t>テストデータ期待値（No.1）シートTC03
の処理結果照会Dtoと同様のデータが返却されること</t>
    </r>
    <r>
      <rPr>
        <sz val="10"/>
        <rFont val="ＭＳ Ｐゴシック"/>
        <family val="3"/>
        <charset val="128"/>
      </rPr>
      <t/>
    </r>
  </si>
  <si>
    <r>
      <t>テストデータ期待値（No.1）シートTC04
の処理結果照会Dtoと同様のデータが返却されること</t>
    </r>
    <r>
      <rPr>
        <sz val="10"/>
        <rFont val="ＭＳ Ｐゴシック"/>
        <family val="3"/>
        <charset val="128"/>
      </rPr>
      <t/>
    </r>
  </si>
  <si>
    <r>
      <t>テストデータ期待値（No.1）シートTC05
の処理結果照会Dtoと同様のデータが返却されること</t>
    </r>
    <r>
      <rPr>
        <sz val="10"/>
        <rFont val="ＭＳ Ｐゴシック"/>
        <family val="3"/>
        <charset val="128"/>
      </rPr>
      <t/>
    </r>
  </si>
  <si>
    <t>備考</t>
    <rPh sb="0" eb="2">
      <t>ビコウ</t>
    </rPh>
    <phoneticPr fontId="4"/>
  </si>
  <si>
    <r>
      <t>組織／業種マスタ</t>
    </r>
    <r>
      <rPr>
        <sz val="11"/>
        <rFont val="Noto Sans JP"/>
        <family val="3"/>
        <charset val="134"/>
      </rPr>
      <t>(DAA447_SoshikiGyoshuMst)</t>
    </r>
    <phoneticPr fontId="4"/>
  </si>
  <si>
    <t>業種コード</t>
    <phoneticPr fontId="6"/>
  </si>
  <si>
    <t>所属コード</t>
    <phoneticPr fontId="6"/>
  </si>
  <si>
    <t>7</t>
    <phoneticPr fontId="6"/>
  </si>
  <si>
    <r>
      <t>経理部</t>
    </r>
    <r>
      <rPr>
        <sz val="10"/>
        <rFont val="ＭＳ Ｐゴシック"/>
        <family val="3"/>
        <charset val="128"/>
      </rPr>
      <t>以外</t>
    </r>
    <rPh sb="3" eb="5">
      <t>イガイ</t>
    </rPh>
    <phoneticPr fontId="6"/>
  </si>
  <si>
    <t>基準年月末日</t>
    <phoneticPr fontId="6"/>
  </si>
  <si>
    <t>14</t>
    <phoneticPr fontId="6"/>
  </si>
  <si>
    <t>17</t>
    <phoneticPr fontId="6"/>
  </si>
  <si>
    <t>選択可能業種リスト</t>
    <phoneticPr fontId="6"/>
  </si>
  <si>
    <t>8</t>
    <phoneticPr fontId="6"/>
  </si>
  <si>
    <t>NUMERIC</t>
  </si>
  <si>
    <t>対象年月</t>
  </si>
  <si>
    <t>収支管理品目コード</t>
  </si>
  <si>
    <t>SHUSHI_KANRI_HINMOKU_CD</t>
  </si>
  <si>
    <t>年産</t>
  </si>
  <si>
    <t>会計年度</t>
    <phoneticPr fontId="4"/>
  </si>
  <si>
    <t>対象年月</t>
    <phoneticPr fontId="4"/>
  </si>
  <si>
    <t>収支管理品目コード</t>
    <phoneticPr fontId="4"/>
  </si>
  <si>
    <t>年産</t>
    <phoneticPr fontId="4"/>
  </si>
  <si>
    <t>共計次数</t>
    <phoneticPr fontId="4"/>
  </si>
  <si>
    <t>配分箇所コード</t>
    <rPh sb="0" eb="4">
      <t>ハイブンカショ</t>
    </rPh>
    <phoneticPr fontId="4"/>
  </si>
  <si>
    <t>共計組織コード</t>
    <phoneticPr fontId="4"/>
  </si>
  <si>
    <t>取扱高金額月計</t>
    <phoneticPr fontId="4"/>
  </si>
  <si>
    <t>取扱高手数料月計</t>
    <phoneticPr fontId="4"/>
  </si>
  <si>
    <t>取扱高金額累計</t>
    <phoneticPr fontId="4"/>
  </si>
  <si>
    <t>取扱高手数料累計</t>
    <phoneticPr fontId="4"/>
  </si>
  <si>
    <t>KAIKEI_NENDO</t>
    <phoneticPr fontId="4"/>
  </si>
  <si>
    <t>TAISHO_NENGETSU</t>
    <phoneticPr fontId="4"/>
  </si>
  <si>
    <t>SHUSHI_KANRI_HINMOKU_CD</t>
    <phoneticPr fontId="4"/>
  </si>
  <si>
    <t>NENSAN</t>
    <phoneticPr fontId="4"/>
  </si>
  <si>
    <t>KYOKEI_JISU</t>
    <phoneticPr fontId="4"/>
  </si>
  <si>
    <t>HAIBUN_KASHO_CD</t>
    <phoneticPr fontId="4"/>
  </si>
  <si>
    <t xml:space="preserve">	KYOKEI_SOSHIKI_CD</t>
    <phoneticPr fontId="4"/>
  </si>
  <si>
    <t>TORIATSUKAIDAKA_KINGAKU_GEKKEI</t>
    <phoneticPr fontId="4"/>
  </si>
  <si>
    <t>TORIATSUKAIDAKA_TESURYO_GEKKEI</t>
    <phoneticPr fontId="4"/>
  </si>
  <si>
    <t>TORIATSUKAIDAKA_KINGAKU_RUIKEI</t>
    <phoneticPr fontId="4"/>
  </si>
  <si>
    <t>TORIATSUKAIDAKA_TESURYO_RUIKEI</t>
    <phoneticPr fontId="4"/>
  </si>
  <si>
    <t>NUMERIC</t>
    <phoneticPr fontId="4"/>
  </si>
  <si>
    <t>収支管理品目名称</t>
  </si>
  <si>
    <t>SHUSHI_KANRI_HINMOKU_MEISHO</t>
  </si>
  <si>
    <t>収支管理品目略称</t>
  </si>
  <si>
    <t>SHUSHI_KANRI_HINMOKU_RYAKUSHO</t>
  </si>
  <si>
    <t>年産管理有無区分</t>
  </si>
  <si>
    <t>NENSAN_KANRI_UMU_KBN</t>
  </si>
  <si>
    <t>規格名称</t>
  </si>
  <si>
    <t>KIKAKU_MEISHO</t>
  </si>
  <si>
    <t>収支管理品目等級区分</t>
  </si>
  <si>
    <t>SHUSHI_KANRI_HINMOKU_TOKYU_KBN</t>
  </si>
  <si>
    <t>収支管理品目荷姿区分</t>
  </si>
  <si>
    <t>SHUSHI_KANRI_HINMOKU_NISUGATA_KBN</t>
  </si>
  <si>
    <t>収支管理品目単位区分</t>
  </si>
  <si>
    <t>SHUSHI_KANRI_HINMOKU_TANI_KBN</t>
  </si>
  <si>
    <t>収支管理品目入数</t>
  </si>
  <si>
    <t>SHUSHI_KANRI_HINMOKU_IRISU</t>
  </si>
  <si>
    <t>収支管理品目入数単位区分</t>
  </si>
  <si>
    <t>SHUSHI_KANRI_HINMOKU_IRISU_TANI_KBN</t>
  </si>
  <si>
    <t>受払単位区分</t>
  </si>
  <si>
    <t>UKEHARAI_TANI_KBN</t>
  </si>
  <si>
    <t>棚卸資産評価区分</t>
  </si>
  <si>
    <t>TANAOROSHI_SHISAN_HYOKA_KBN</t>
  </si>
  <si>
    <t>受払評価区分</t>
  </si>
  <si>
    <t>UKEHARAI_HYOKA_KBN</t>
  </si>
  <si>
    <t>循環棚卸区分</t>
  </si>
  <si>
    <t>JUNKAN_TANAOROSHI_KBN</t>
  </si>
  <si>
    <t>収支管理品目大分類コード</t>
  </si>
  <si>
    <t>SHUSHI_KANRI_HINMOKU_DAIBUNRUI_CD</t>
  </si>
  <si>
    <t>決済条件適用品目コード</t>
  </si>
  <si>
    <t>KESSAI_JOKEN_TEKIYO_HINMOKU_CD</t>
  </si>
  <si>
    <t>出力制御コード</t>
  </si>
  <si>
    <t>SHUTSURYOKU_SEIGYO_CD</t>
  </si>
  <si>
    <t>収支管理品目大分類コード</t>
    <phoneticPr fontId="4"/>
  </si>
  <si>
    <t>SHUSHI_KANRI_HINMOKU_DAIBUNRUI_CD</t>
    <phoneticPr fontId="4"/>
  </si>
  <si>
    <t>収支管理品目大分類名称</t>
  </si>
  <si>
    <t>SHUSHI_KANRI_HINMOKU_DAIBUNRUI_MEISHO</t>
  </si>
  <si>
    <t>会計情報品目コード</t>
  </si>
  <si>
    <t>KAIKEI_JOHO_HINMOKU_CD</t>
  </si>
  <si>
    <t>会計情報品目コード</t>
    <phoneticPr fontId="4"/>
  </si>
  <si>
    <t>KAIKEI_JOHO_HINMOKU_CD</t>
    <phoneticPr fontId="4"/>
  </si>
  <si>
    <t>項目名称（日本語）</t>
    <rPh sb="5" eb="8">
      <t>ニホンゴ</t>
    </rPh>
    <phoneticPr fontId="4"/>
  </si>
  <si>
    <t>削除区分</t>
    <rPh sb="0" eb="4">
      <t>サクジョクブン</t>
    </rPh>
    <phoneticPr fontId="4"/>
  </si>
  <si>
    <t>作成日時</t>
    <rPh sb="0" eb="2">
      <t>サクセイ</t>
    </rPh>
    <rPh sb="2" eb="4">
      <t>ニチジ</t>
    </rPh>
    <phoneticPr fontId="4"/>
  </si>
  <si>
    <t>最終更新日時</t>
    <rPh sb="0" eb="2">
      <t>サイシュウ</t>
    </rPh>
    <rPh sb="2" eb="4">
      <t>コウシン</t>
    </rPh>
    <rPh sb="4" eb="6">
      <t>ニチジ</t>
    </rPh>
    <phoneticPr fontId="4"/>
  </si>
  <si>
    <t>最終更新者ユーザーID</t>
    <phoneticPr fontId="4"/>
  </si>
  <si>
    <t>入力日時</t>
    <rPh sb="0" eb="2">
      <t>ニュウリョク</t>
    </rPh>
    <rPh sb="2" eb="4">
      <t>ニチジ</t>
    </rPh>
    <phoneticPr fontId="4"/>
  </si>
  <si>
    <t>入力者ユーザーID</t>
    <rPh sb="0" eb="3">
      <t>ニュウリョクシャ</t>
    </rPh>
    <phoneticPr fontId="4"/>
  </si>
  <si>
    <t>承認日時</t>
    <rPh sb="0" eb="2">
      <t>ショウニン</t>
    </rPh>
    <rPh sb="2" eb="4">
      <t>ニチジ</t>
    </rPh>
    <phoneticPr fontId="4"/>
  </si>
  <si>
    <t>承認者ユーザーID</t>
    <rPh sb="0" eb="3">
      <t>ショウニンシャ</t>
    </rPh>
    <phoneticPr fontId="4"/>
  </si>
  <si>
    <t>事業所コード</t>
    <phoneticPr fontId="4"/>
  </si>
  <si>
    <t>適用開始年月日</t>
    <phoneticPr fontId="4"/>
  </si>
  <si>
    <t>適用終了年月日</t>
    <phoneticPr fontId="4"/>
  </si>
  <si>
    <t>組織コード</t>
    <rPh sb="0" eb="2">
      <t>ソシキ</t>
    </rPh>
    <phoneticPr fontId="4"/>
  </si>
  <si>
    <t>事業所区分</t>
    <phoneticPr fontId="4"/>
  </si>
  <si>
    <t>事業所名（漢字）</t>
    <phoneticPr fontId="4"/>
  </si>
  <si>
    <t>事業所名（カナ）</t>
    <phoneticPr fontId="4"/>
  </si>
  <si>
    <t>事業所名略称（漢字）</t>
    <rPh sb="3" eb="4">
      <t>メイ</t>
    </rPh>
    <rPh sb="7" eb="9">
      <t>カンジ</t>
    </rPh>
    <phoneticPr fontId="4"/>
  </si>
  <si>
    <t>事業所名略称（カナ）</t>
    <rPh sb="3" eb="4">
      <t>メイ</t>
    </rPh>
    <phoneticPr fontId="4"/>
  </si>
  <si>
    <t>組織代表アドレス</t>
    <phoneticPr fontId="4"/>
  </si>
  <si>
    <t>郵便番号</t>
    <rPh sb="0" eb="4">
      <t>ユウビンバンゴウ</t>
    </rPh>
    <phoneticPr fontId="4"/>
  </si>
  <si>
    <t>住所コード</t>
    <rPh sb="0" eb="2">
      <t>ジュウショ</t>
    </rPh>
    <phoneticPr fontId="4"/>
  </si>
  <si>
    <t>住所（漢字）</t>
    <phoneticPr fontId="4"/>
  </si>
  <si>
    <t>住所（カナ）</t>
    <phoneticPr fontId="4"/>
  </si>
  <si>
    <t>番地（漢字）</t>
    <phoneticPr fontId="4"/>
  </si>
  <si>
    <t>番地（カナ）</t>
    <phoneticPr fontId="4"/>
  </si>
  <si>
    <t>建物名（漢字）</t>
    <phoneticPr fontId="4"/>
  </si>
  <si>
    <t>建物名（カナ）</t>
    <phoneticPr fontId="4"/>
  </si>
  <si>
    <t>電話市外局番</t>
    <phoneticPr fontId="4"/>
  </si>
  <si>
    <t>電話市内局番</t>
    <rPh sb="2" eb="4">
      <t>シナイ</t>
    </rPh>
    <phoneticPr fontId="4"/>
  </si>
  <si>
    <t>電話加入者番号</t>
    <rPh sb="2" eb="5">
      <t>カニュウシャ</t>
    </rPh>
    <phoneticPr fontId="4"/>
  </si>
  <si>
    <t>ＦＡＸ市外局番</t>
    <phoneticPr fontId="4"/>
  </si>
  <si>
    <t>ＦＡＸ市内局番</t>
    <rPh sb="3" eb="5">
      <t>シナイ</t>
    </rPh>
    <phoneticPr fontId="4"/>
  </si>
  <si>
    <t>ＦＡＸ加入者番号</t>
    <rPh sb="3" eb="6">
      <t>カニュウシャ</t>
    </rPh>
    <phoneticPr fontId="4"/>
  </si>
  <si>
    <r>
      <t>項目名称（英字）</t>
    </r>
    <r>
      <rPr>
        <sz val="8"/>
        <rFont val="ＭＳ 明朝"/>
        <family val="1"/>
        <charset val="128"/>
      </rPr>
      <t>＊</t>
    </r>
    <rPh sb="5" eb="7">
      <t>エイジ</t>
    </rPh>
    <phoneticPr fontId="4"/>
  </si>
  <si>
    <t>JIGYOSHO_CD</t>
    <phoneticPr fontId="4"/>
  </si>
  <si>
    <t>JIGYOSHO_KBN</t>
    <phoneticPr fontId="4"/>
  </si>
  <si>
    <t>JIGYOSHO_MEI_KJ</t>
    <phoneticPr fontId="4"/>
  </si>
  <si>
    <t>JIGYOSHO_MEI_KN</t>
    <phoneticPr fontId="4"/>
  </si>
  <si>
    <t>JIGYOSHO_RYAKMEI_KJ</t>
    <phoneticPr fontId="4"/>
  </si>
  <si>
    <t>JIGYOSHO_RYAKMEI_KN</t>
    <phoneticPr fontId="4"/>
  </si>
  <si>
    <t>SOSHIKI_MAILADDR</t>
    <phoneticPr fontId="4"/>
  </si>
  <si>
    <t>YUBIN_NO</t>
    <phoneticPr fontId="4"/>
  </si>
  <si>
    <t>JUSHO_CD</t>
    <phoneticPr fontId="4"/>
  </si>
  <si>
    <t>JUSHO_KJ</t>
    <phoneticPr fontId="4"/>
  </si>
  <si>
    <t>JUSHO_KN</t>
    <phoneticPr fontId="4"/>
  </si>
  <si>
    <t>JUSHO_BANCHI_KJ</t>
    <phoneticPr fontId="4"/>
  </si>
  <si>
    <t>JUSHO_BANCHI_KN</t>
    <phoneticPr fontId="4"/>
  </si>
  <si>
    <t>JUSHO_TATMN_KJ</t>
    <phoneticPr fontId="4"/>
  </si>
  <si>
    <t>JUSHO_TATMN_KN</t>
    <phoneticPr fontId="4"/>
  </si>
  <si>
    <t>TEL_SHIGAI_NO</t>
    <phoneticPr fontId="4"/>
  </si>
  <si>
    <t>TEL_SHINAI_NO</t>
    <phoneticPr fontId="4"/>
  </si>
  <si>
    <t>TEL_NO</t>
    <phoneticPr fontId="4"/>
  </si>
  <si>
    <t>FAX_SHIGAI_NO</t>
    <phoneticPr fontId="4"/>
  </si>
  <si>
    <t>FAX_SHINAI_NO</t>
    <phoneticPr fontId="4"/>
  </si>
  <si>
    <t>FAX_NO</t>
    <phoneticPr fontId="4"/>
  </si>
  <si>
    <t>データ型</t>
    <rPh sb="3" eb="4">
      <t>カタ</t>
    </rPh>
    <phoneticPr fontId="4"/>
  </si>
  <si>
    <t>英数字</t>
    <rPh sb="0" eb="3">
      <t>エイスウジ</t>
    </rPh>
    <phoneticPr fontId="4"/>
  </si>
  <si>
    <t>数字</t>
    <rPh sb="0" eb="2">
      <t>スウジ</t>
    </rPh>
    <phoneticPr fontId="4"/>
  </si>
  <si>
    <t>日時</t>
    <rPh sb="0" eb="2">
      <t>ニチジ</t>
    </rPh>
    <phoneticPr fontId="4"/>
  </si>
  <si>
    <t>漢字</t>
    <rPh sb="0" eb="2">
      <t>カンジ</t>
    </rPh>
    <phoneticPr fontId="4"/>
  </si>
  <si>
    <t>桁数</t>
    <rPh sb="0" eb="2">
      <t>ケタスウ</t>
    </rPh>
    <phoneticPr fontId="4"/>
  </si>
  <si>
    <t>小数点以下</t>
    <rPh sb="3" eb="5">
      <t>イカ</t>
    </rPh>
    <phoneticPr fontId="4"/>
  </si>
  <si>
    <r>
      <t>初期値</t>
    </r>
    <r>
      <rPr>
        <sz val="8"/>
        <rFont val="ＭＳ 明朝"/>
        <family val="1"/>
        <charset val="128"/>
      </rPr>
      <t>*</t>
    </r>
    <rPh sb="0" eb="3">
      <t>ショキチ</t>
    </rPh>
    <phoneticPr fontId="4"/>
  </si>
  <si>
    <t>'0'</t>
    <phoneticPr fontId="4"/>
  </si>
  <si>
    <t>CURRENT_TIMESTAMP</t>
    <phoneticPr fontId="4"/>
  </si>
  <si>
    <t>99991231</t>
    <phoneticPr fontId="4"/>
  </si>
  <si>
    <t>メークイン（Ｌ）</t>
  </si>
  <si>
    <t>ﾒｰｸｲﾝL</t>
  </si>
  <si>
    <t>20kgコンテナ</t>
  </si>
  <si>
    <t>JH</t>
  </si>
  <si>
    <t>WF-SH-001</t>
  </si>
  <si>
    <t>110001</t>
  </si>
  <si>
    <t>001</t>
  </si>
  <si>
    <t>02</t>
  </si>
  <si>
    <t>01</t>
  </si>
  <si>
    <t>00</t>
  </si>
  <si>
    <t>101</t>
  </si>
  <si>
    <t>000001</t>
  </si>
  <si>
    <t>07</t>
  </si>
  <si>
    <t>馬鈴薯類</t>
  </si>
  <si>
    <t>WF-SD-001</t>
  </si>
  <si>
    <t>収支管理品目大分類マスタ(DAA454_ShushiKanriHinmokuDaibunruiMst)</t>
    <phoneticPr fontId="4"/>
  </si>
  <si>
    <t>収支管理品目マスタ(DAA456_ShushiKanriHinmokuMst)</t>
    <phoneticPr fontId="4"/>
  </si>
  <si>
    <t>TC02_1</t>
    <phoneticPr fontId="6"/>
  </si>
  <si>
    <t>TC02_2</t>
    <phoneticPr fontId="6"/>
  </si>
  <si>
    <t>TC02_3</t>
    <phoneticPr fontId="6"/>
  </si>
  <si>
    <t>TC02_4</t>
    <phoneticPr fontId="6"/>
  </si>
  <si>
    <t>Group by</t>
    <phoneticPr fontId="4"/>
  </si>
  <si>
    <t>送信元システム管理コード</t>
  </si>
  <si>
    <t>SOSHINMOTO_SYSTEM_KANRI_CD</t>
  </si>
  <si>
    <t>連動区分</t>
  </si>
  <si>
    <t>RENDO_KBN</t>
  </si>
  <si>
    <t>2026-05-13-09.38.30.090000</t>
  </si>
  <si>
    <t>USER001</t>
  </si>
  <si>
    <t>2025</t>
  </si>
  <si>
    <t>202505</t>
  </si>
  <si>
    <t>100001</t>
  </si>
  <si>
    <t>2024</t>
  </si>
  <si>
    <t>1001</t>
  </si>
  <si>
    <t>1000000</t>
  </si>
  <si>
    <t>50000</t>
  </si>
  <si>
    <t>5000000</t>
  </si>
  <si>
    <t>250000</t>
  </si>
  <si>
    <t>1500000</t>
  </si>
  <si>
    <t>販売共計手数料配分計算データ(DAC321_HanbaiKyokeiTesuryoHaibunKeisanData)</t>
    <phoneticPr fontId="4"/>
  </si>
  <si>
    <t>2026-05-13-09.29.16.692000</t>
  </si>
  <si>
    <t>USER002</t>
  </si>
  <si>
    <t>小麦類</t>
  </si>
  <si>
    <t>APP20250001</t>
  </si>
  <si>
    <t>会計情報品目名称</t>
  </si>
  <si>
    <t>KAIKEI_JOHO_HINMOKU_MEISHO</t>
  </si>
  <si>
    <t>購買販売区分</t>
  </si>
  <si>
    <t>KOBAI_HANBAI_KBN</t>
  </si>
  <si>
    <t>2026-05-13-09.34.42.570000</t>
  </si>
  <si>
    <t>札幌本社</t>
  </si>
  <si>
    <t>サッポロホンシャ</t>
  </si>
  <si>
    <t>札幌</t>
  </si>
  <si>
    <t>サッポロ</t>
  </si>
  <si>
    <t>hokkaido@hokuren.jp</t>
  </si>
  <si>
    <t>0600001</t>
  </si>
  <si>
    <t>01101020304</t>
  </si>
  <si>
    <t>北海道札幌市中央区</t>
  </si>
  <si>
    <t>ホッカイドウサッポロシチュウオウク</t>
  </si>
  <si>
    <t>1丁目1番1号</t>
  </si>
  <si>
    <t>1チョウメ1バンゴウ</t>
  </si>
  <si>
    <t>本社ビル</t>
  </si>
  <si>
    <t>ホンシャビル</t>
  </si>
  <si>
    <t>011</t>
  </si>
  <si>
    <t>123</t>
  </si>
  <si>
    <t>4567</t>
  </si>
  <si>
    <t>4568</t>
  </si>
  <si>
    <t>会計情報品目マスタ(DAA452_KaikeiJohoHinmokuMst)</t>
    <phoneticPr fontId="4"/>
  </si>
  <si>
    <t>V_事業所マスタ(V_AQA011_JigyoshoMst)</t>
    <phoneticPr fontId="4"/>
  </si>
  <si>
    <t>経理部("1")</t>
    <phoneticPr fontId="6"/>
  </si>
  <si>
    <t>0</t>
    <phoneticPr fontId="6"/>
  </si>
  <si>
    <t>selectableGyoshuCdList</t>
    <phoneticPr fontId="6"/>
  </si>
  <si>
    <t>kijunNengetsuMatsujitsu</t>
    <phoneticPr fontId="6"/>
  </si>
  <si>
    <t>shozokuCd</t>
    <phoneticPr fontId="6"/>
  </si>
  <si>
    <t>業種名称</t>
  </si>
  <si>
    <t>GYOSHU_MEISHO</t>
  </si>
  <si>
    <t>業種形態区分</t>
  </si>
  <si>
    <t>GYOSHU_KEITAI_KBN</t>
  </si>
  <si>
    <t>部門コード</t>
  </si>
  <si>
    <t>BUMON_CD</t>
  </si>
  <si>
    <t>業種マスタ(DAA445_GyoshuMst)</t>
    <phoneticPr fontId="4"/>
  </si>
  <si>
    <t>WF-GS-001</t>
  </si>
  <si>
    <t>共通・管理業種</t>
    <phoneticPr fontId="4"/>
  </si>
  <si>
    <t>対象年月</t>
    <phoneticPr fontId="6"/>
  </si>
  <si>
    <t>202505</t>
    <phoneticPr fontId="4"/>
  </si>
  <si>
    <t>01</t>
    <phoneticPr fontId="4"/>
  </si>
  <si>
    <t>02</t>
    <phoneticPr fontId="4"/>
  </si>
  <si>
    <t>01,02</t>
    <phoneticPr fontId="6"/>
  </si>
  <si>
    <t>99</t>
    <phoneticPr fontId="6"/>
  </si>
  <si>
    <t>01</t>
    <phoneticPr fontId="6"/>
  </si>
  <si>
    <t>TC01`06</t>
    <phoneticPr fontId="4"/>
  </si>
  <si>
    <t>業種名称</t>
    <rPh sb="2" eb="4">
      <t>メイショウ</t>
    </rPh>
    <phoneticPr fontId="6"/>
  </si>
  <si>
    <t xml:space="preserve">会計情報品目コード            </t>
    <phoneticPr fontId="6"/>
  </si>
  <si>
    <t xml:space="preserve">会計情報品目名称             </t>
    <phoneticPr fontId="6"/>
  </si>
  <si>
    <t xml:space="preserve">収支管理品目コード                        </t>
    <phoneticPr fontId="6"/>
  </si>
  <si>
    <t xml:space="preserve">収支管理品目名称                                                           </t>
    <phoneticPr fontId="6"/>
  </si>
  <si>
    <t>年産</t>
    <phoneticPr fontId="6"/>
  </si>
  <si>
    <t>共計次数</t>
    <phoneticPr fontId="6"/>
  </si>
  <si>
    <t>配分箇所</t>
    <phoneticPr fontId="6"/>
  </si>
  <si>
    <t>配分箇所名</t>
    <phoneticPr fontId="6"/>
  </si>
  <si>
    <t xml:space="preserve">取扱高金額月計  </t>
    <phoneticPr fontId="6"/>
  </si>
  <si>
    <t xml:space="preserve">取扱高手数料月計 </t>
    <phoneticPr fontId="6"/>
  </si>
  <si>
    <t>取扱高金額累計</t>
    <phoneticPr fontId="6"/>
  </si>
  <si>
    <t>取扱高手数料累計</t>
    <phoneticPr fontId="6"/>
  </si>
  <si>
    <t>taishoNengetsu</t>
    <phoneticPr fontId="6"/>
  </si>
  <si>
    <t>gyoshuCd</t>
    <phoneticPr fontId="6"/>
  </si>
  <si>
    <t>gyoshuMei</t>
    <phoneticPr fontId="6"/>
  </si>
  <si>
    <t>kaikeiJohoHinmokuCd</t>
    <phoneticPr fontId="6"/>
  </si>
  <si>
    <t>kaikeiJohoHinmokuMeisho</t>
    <phoneticPr fontId="6"/>
  </si>
  <si>
    <t>shushiKanriHinmokuCd</t>
    <phoneticPr fontId="6"/>
  </si>
  <si>
    <t>shushiKanriHinmokuMeisho</t>
    <phoneticPr fontId="6"/>
  </si>
  <si>
    <t>nensan</t>
    <phoneticPr fontId="6"/>
  </si>
  <si>
    <t>kyokeiJisu</t>
    <phoneticPr fontId="6"/>
  </si>
  <si>
    <t>haibunKasho</t>
    <phoneticPr fontId="6"/>
  </si>
  <si>
    <t>haibunKashoMei</t>
    <phoneticPr fontId="6"/>
  </si>
  <si>
    <t>toriatsukaidakaKingakuGekkei</t>
    <phoneticPr fontId="6"/>
  </si>
  <si>
    <t>toriatsukaidakaTesuryoGekkei</t>
    <phoneticPr fontId="6"/>
  </si>
  <si>
    <t>toriatsukaidakaKingakuRuikei</t>
    <phoneticPr fontId="6"/>
  </si>
  <si>
    <t>toriatsukaidakaTesuryoRuikei</t>
    <phoneticPr fontId="6"/>
  </si>
  <si>
    <r>
      <t>TC01</t>
    </r>
    <r>
      <rPr>
        <sz val="11"/>
        <rFont val="ＭＳ ゴシック"/>
        <family val="3"/>
        <charset val="128"/>
      </rPr>
      <t>~05</t>
    </r>
    <phoneticPr fontId="4"/>
  </si>
  <si>
    <r>
      <t>基準日</t>
    </r>
    <r>
      <rPr>
        <sz val="11"/>
        <rFont val="Noto Sans JP"/>
        <family val="3"/>
        <charset val="134"/>
      </rPr>
      <t>:</t>
    </r>
    <r>
      <rPr>
        <sz val="11"/>
        <rFont val="ＭＳ ゴシック"/>
        <family val="3"/>
        <charset val="128"/>
      </rPr>
      <t xml:space="preserve">
between 適用開始日 and 適用終了日
適用開始日 -1 日
適用終了日 +1 日
= 適用開始日
= 適用終了日</t>
    </r>
    <phoneticPr fontId="4"/>
  </si>
  <si>
    <t>04</t>
  </si>
  <si>
    <t>05</t>
  </si>
  <si>
    <t>06</t>
  </si>
  <si>
    <t>100002</t>
    <phoneticPr fontId="4"/>
  </si>
  <si>
    <t>orderby</t>
    <phoneticPr fontId="4"/>
  </si>
  <si>
    <t>101</t>
    <phoneticPr fontId="4"/>
  </si>
  <si>
    <t>2025</t>
    <phoneticPr fontId="4"/>
  </si>
  <si>
    <t>「対象外」</t>
    <rPh sb="1" eb="4">
      <t>タイショウガイ</t>
    </rPh>
    <phoneticPr fontId="6"/>
  </si>
  <si>
    <t>02</t>
    <phoneticPr fontId="6"/>
  </si>
  <si>
    <t>取扱区分</t>
  </si>
  <si>
    <t>直送品手数料（月計）</t>
  </si>
  <si>
    <t>在庫品売上（月計）</t>
  </si>
  <si>
    <t>在庫品手数料（月計）</t>
  </si>
  <si>
    <t>在庫品売上（累計）</t>
  </si>
  <si>
    <t>在庫品手数料（累計）</t>
  </si>
  <si>
    <t>供給費（累計）</t>
  </si>
  <si>
    <t>取扱区分</t>
    <phoneticPr fontId="4"/>
  </si>
  <si>
    <t>取扱組織コード</t>
    <phoneticPr fontId="4"/>
  </si>
  <si>
    <t>指図事業所コード</t>
    <phoneticPr fontId="4"/>
  </si>
  <si>
    <t>一般共計区分</t>
    <phoneticPr fontId="4"/>
  </si>
  <si>
    <t>直送品売上（月計）</t>
    <phoneticPr fontId="4"/>
  </si>
  <si>
    <t>直送品手数料（月計）</t>
    <phoneticPr fontId="4"/>
  </si>
  <si>
    <t>在庫品売上（月計）</t>
    <phoneticPr fontId="4"/>
  </si>
  <si>
    <t>在庫品手数料（月計）</t>
    <phoneticPr fontId="4"/>
  </si>
  <si>
    <t>供給費（月計）</t>
    <phoneticPr fontId="4"/>
  </si>
  <si>
    <t>直送品売上（累計）</t>
    <phoneticPr fontId="4"/>
  </si>
  <si>
    <t>直送品手数料（累計）</t>
    <phoneticPr fontId="4"/>
  </si>
  <si>
    <t>在庫品売上（累計）</t>
    <phoneticPr fontId="4"/>
  </si>
  <si>
    <t>在庫品手数料（累計）</t>
    <phoneticPr fontId="4"/>
  </si>
  <si>
    <t>供給費（累計）</t>
    <phoneticPr fontId="4"/>
  </si>
  <si>
    <t>TORIATSUKAI_KBN</t>
    <phoneticPr fontId="4"/>
  </si>
  <si>
    <t>TORIATSUKAI_SOSHIKI_CD</t>
    <phoneticPr fontId="4"/>
  </si>
  <si>
    <t>SASHIZU_JIGYOSHO_CD</t>
    <phoneticPr fontId="4"/>
  </si>
  <si>
    <t>IPPAN_KYOKEI_KBN</t>
    <phoneticPr fontId="4"/>
  </si>
  <si>
    <t>CHOKUSOHIN_URIAGE_GEKKEI</t>
    <phoneticPr fontId="4"/>
  </si>
  <si>
    <t>CHOKUSOHIN_TESURYO_GEKKEI</t>
    <phoneticPr fontId="4"/>
  </si>
  <si>
    <t>ZAIKOHIN_URIAGE_GEKKEI</t>
    <phoneticPr fontId="4"/>
  </si>
  <si>
    <t>ZAIKOHIN_TESURYO_GEKKEI</t>
    <phoneticPr fontId="4"/>
  </si>
  <si>
    <t>KYOKYUHI_GEKKEI</t>
    <phoneticPr fontId="4"/>
  </si>
  <si>
    <t>CHOKUSOHIN_URIAGE_RUIKEI</t>
    <phoneticPr fontId="4"/>
  </si>
  <si>
    <t>CHOKUSOHIN_TESURYO_RUIKEI</t>
    <phoneticPr fontId="4"/>
  </si>
  <si>
    <t>ZAIKOHIN_URIAGE_RUIKEI</t>
    <phoneticPr fontId="4"/>
  </si>
  <si>
    <t>ZAIKOHIN_TESURYO_RUIKEI</t>
    <phoneticPr fontId="4"/>
  </si>
  <si>
    <t>KYOKYUHI_RUIKEI</t>
    <phoneticPr fontId="4"/>
  </si>
  <si>
    <t>2026-05-14-16.37.23.225000</t>
  </si>
  <si>
    <t>101001</t>
  </si>
  <si>
    <t>45000</t>
  </si>
  <si>
    <t>else</t>
    <phoneticPr fontId="6"/>
  </si>
  <si>
    <t>TC01`05</t>
    <phoneticPr fontId="4"/>
  </si>
  <si>
    <r>
      <t>購買手数料配分計算書</t>
    </r>
    <r>
      <rPr>
        <b/>
        <sz val="11"/>
        <rFont val="Noto Sans JP"/>
        <family val="3"/>
        <charset val="134"/>
      </rPr>
      <t>(</t>
    </r>
    <r>
      <rPr>
        <b/>
        <sz val="11"/>
        <rFont val="ＭＳ ゴシック"/>
        <family val="3"/>
        <charset val="128"/>
      </rPr>
      <t>middleテーブル</t>
    </r>
    <r>
      <rPr>
        <b/>
        <sz val="11"/>
        <rFont val="Noto Sans JP"/>
        <family val="3"/>
        <charset val="134"/>
      </rPr>
      <t>)</t>
    </r>
    <phoneticPr fontId="4"/>
  </si>
  <si>
    <t>定数.取扱区分.共計</t>
    <phoneticPr fontId="4"/>
  </si>
  <si>
    <t>QA</t>
    <phoneticPr fontId="4"/>
  </si>
  <si>
    <r>
      <t>202</t>
    </r>
    <r>
      <rPr>
        <sz val="11"/>
        <rFont val="ＭＳ ゴシック"/>
        <family val="3"/>
        <charset val="128"/>
      </rPr>
      <t>6</t>
    </r>
    <phoneticPr fontId="4"/>
  </si>
  <si>
    <r>
      <t>取扱組織</t>
    </r>
    <r>
      <rPr>
        <b/>
        <sz val="11"/>
        <rFont val="Noto Sans JP"/>
        <family val="3"/>
        <charset val="134"/>
      </rPr>
      <t>(</t>
    </r>
    <r>
      <rPr>
        <b/>
        <sz val="11"/>
        <rFont val="ＭＳ ゴシック"/>
        <family val="3"/>
        <charset val="128"/>
      </rPr>
      <t>COMMON_SOSHIKI</t>
    </r>
    <r>
      <rPr>
        <b/>
        <sz val="11"/>
        <rFont val="Noto Sans JP"/>
        <family val="3"/>
        <charset val="134"/>
      </rPr>
      <t>)</t>
    </r>
    <phoneticPr fontId="4"/>
  </si>
  <si>
    <t>組織名</t>
    <phoneticPr fontId="4"/>
  </si>
  <si>
    <t>事業本部コード</t>
    <phoneticPr fontId="4"/>
  </si>
  <si>
    <t>部コード</t>
    <phoneticPr fontId="4"/>
  </si>
  <si>
    <t>課コード</t>
    <phoneticPr fontId="4"/>
  </si>
  <si>
    <t>施設コード</t>
    <phoneticPr fontId="4"/>
  </si>
  <si>
    <t>上位組織コード</t>
    <phoneticPr fontId="4"/>
  </si>
  <si>
    <t>NULL</t>
    <phoneticPr fontId="4"/>
  </si>
  <si>
    <t>'</t>
    <phoneticPr fontId="4"/>
  </si>
  <si>
    <t>札幌本社</t>
    <phoneticPr fontId="4"/>
  </si>
  <si>
    <t>1001</t>
    <phoneticPr fontId="4"/>
  </si>
  <si>
    <t>1002</t>
    <phoneticPr fontId="4"/>
  </si>
  <si>
    <t>業種名</t>
  </si>
  <si>
    <t>取扱箇所</t>
  </si>
  <si>
    <t>取扱箇所名</t>
  </si>
  <si>
    <t>指図事業所コード</t>
    <rPh sb="0" eb="2">
      <t>サシズ</t>
    </rPh>
    <rPh sb="2" eb="5">
      <t>ジギョウショ</t>
    </rPh>
    <phoneticPr fontId="2"/>
  </si>
  <si>
    <t>指図事業所名</t>
    <rPh sb="0" eb="2">
      <t>サシズ</t>
    </rPh>
    <rPh sb="2" eb="5">
      <t>ジギョウショ</t>
    </rPh>
    <rPh sb="5" eb="6">
      <t>メイ</t>
    </rPh>
    <phoneticPr fontId="2"/>
  </si>
  <si>
    <t>総手数料率（月計）</t>
  </si>
  <si>
    <t>純益（月計）</t>
  </si>
  <si>
    <t>純益率（月計）</t>
  </si>
  <si>
    <t>直送品手数料率（月計）</t>
  </si>
  <si>
    <t>在庫品手数料率（月計）</t>
  </si>
  <si>
    <t>総売上（累計）</t>
  </si>
  <si>
    <t>総手数料（累計）</t>
  </si>
  <si>
    <t>在庫品手数料率（累計）</t>
  </si>
  <si>
    <t>Integer</t>
  </si>
  <si>
    <t>BigDecimal</t>
  </si>
  <si>
    <t xml:space="preserve">指図事業所 </t>
    <phoneticPr fontId="4"/>
  </si>
  <si>
    <t xml:space="preserve">取扱組織事業所 </t>
    <phoneticPr fontId="4"/>
  </si>
  <si>
    <t>供給費（月計）</t>
    <phoneticPr fontId="6"/>
  </si>
  <si>
    <t>直送品売上（月計）</t>
    <phoneticPr fontId="6"/>
  </si>
  <si>
    <t>購買手数料配分計算書CSVDTOリスト</t>
    <phoneticPr fontId="6"/>
  </si>
  <si>
    <t>101011</t>
    <phoneticPr fontId="4"/>
  </si>
  <si>
    <r>
      <t>1</t>
    </r>
    <r>
      <rPr>
        <sz val="11"/>
        <rFont val="ＭＳ ゴシック"/>
        <family val="3"/>
        <charset val="128"/>
      </rPr>
      <t>11</t>
    </r>
    <phoneticPr fontId="4"/>
  </si>
  <si>
    <t>90000</t>
    <phoneticPr fontId="6"/>
  </si>
  <si>
    <t>総売上（月計）</t>
    <phoneticPr fontId="6"/>
  </si>
  <si>
    <t>総手数料（月計）</t>
    <phoneticPr fontId="6"/>
  </si>
  <si>
    <t>純益（累計）</t>
    <phoneticPr fontId="6"/>
  </si>
  <si>
    <t>総手数料率（累計）</t>
    <phoneticPr fontId="6"/>
  </si>
  <si>
    <t>純益率（累計）</t>
    <phoneticPr fontId="6"/>
  </si>
  <si>
    <t>直送品手数料率（累計）</t>
    <phoneticPr fontId="6"/>
  </si>
  <si>
    <t>直送品売上（累計）</t>
    <phoneticPr fontId="6"/>
  </si>
  <si>
    <t>直送品手数料（累計）</t>
    <phoneticPr fontId="6"/>
  </si>
  <si>
    <t>テストデータ期待値（No.2）シートTC02
の処理結果照会Dtoと同様のデータが返却されること</t>
    <phoneticPr fontId="6"/>
  </si>
  <si>
    <t>テストデータ期待値（No.3）シートTC03
の処理結果照会Dtoと同様のデータが返却されること</t>
    <phoneticPr fontId="6"/>
  </si>
  <si>
    <t>テストデータ期待値（No.4）シートTC04
の処理結果照会Dtoと同様のデータが返却されること</t>
    <phoneticPr fontId="6"/>
  </si>
  <si>
    <t>テストデータ期待値（No.5）シートTC05
の処理結果照会Dtoと同様のデータが返却されること</t>
    <phoneticPr fontId="6"/>
  </si>
  <si>
    <t>8.6.4</t>
    <phoneticPr fontId="6"/>
  </si>
  <si>
    <t>手数料配分計算書出力</t>
    <phoneticPr fontId="6"/>
  </si>
  <si>
    <t>DAO+Mapperのメソッドの妥当性
選択可能業種取得</t>
    <phoneticPr fontId="6"/>
  </si>
  <si>
    <t>DAO+Mapperのメソッドの妥当性
全道共計手数料配分計算書情報検索</t>
    <phoneticPr fontId="6"/>
  </si>
  <si>
    <t>DAO+Mapperのメソッドの妥当性
購買手数料配分情報情報検索</t>
    <phoneticPr fontId="6"/>
  </si>
  <si>
    <t>全道共計手数料配分計算データDtoリスト</t>
    <phoneticPr fontId="6"/>
  </si>
  <si>
    <t>手数料配分計算書出力検索条件DTO</t>
    <phoneticPr fontId="6"/>
  </si>
  <si>
    <t>購買手数料配分計算書.直送品売上（月計） + 購買手数料配分計算書.在庫品売上（月計）</t>
    <phoneticPr fontId="6"/>
  </si>
  <si>
    <t>=0</t>
    <phoneticPr fontId="6"/>
  </si>
  <si>
    <t>購買手数料配分計算書.直送品売上（月計）</t>
    <phoneticPr fontId="6"/>
  </si>
  <si>
    <t>when 購買手数料配分計算書.在庫品売上（月計）</t>
    <phoneticPr fontId="6"/>
  </si>
  <si>
    <t>購買手数料配分計算書.直送品売上（累計） + 購買手数料配分計算書.在庫品売上（累計）</t>
    <phoneticPr fontId="6"/>
  </si>
  <si>
    <t>購買手数料配分計算書.在庫品売上（累計）</t>
    <phoneticPr fontId="6"/>
  </si>
  <si>
    <t>購買手数料配分計算書.直送品売上（累計）</t>
    <phoneticPr fontId="6"/>
  </si>
  <si>
    <t>10</t>
    <phoneticPr fontId="6"/>
  </si>
  <si>
    <t>11</t>
    <phoneticPr fontId="6"/>
  </si>
  <si>
    <t>12</t>
    <phoneticPr fontId="6"/>
  </si>
  <si>
    <t>13</t>
    <phoneticPr fontId="6"/>
  </si>
  <si>
    <t>15</t>
    <phoneticPr fontId="6"/>
  </si>
  <si>
    <t>16</t>
    <phoneticPr fontId="6"/>
  </si>
  <si>
    <t>18</t>
    <phoneticPr fontId="6"/>
  </si>
  <si>
    <t>19</t>
    <phoneticPr fontId="6"/>
  </si>
  <si>
    <t>20</t>
    <phoneticPr fontId="6"/>
  </si>
  <si>
    <t>21</t>
    <phoneticPr fontId="6"/>
  </si>
  <si>
    <t>22</t>
    <phoneticPr fontId="6"/>
  </si>
  <si>
    <t>23</t>
    <phoneticPr fontId="6"/>
  </si>
  <si>
    <t>24</t>
    <phoneticPr fontId="6"/>
  </si>
  <si>
    <t>25</t>
    <phoneticPr fontId="6"/>
  </si>
  <si>
    <t>26</t>
    <phoneticPr fontId="6"/>
  </si>
  <si>
    <t>27</t>
    <phoneticPr fontId="6"/>
  </si>
  <si>
    <t>28</t>
    <phoneticPr fontId="6"/>
  </si>
  <si>
    <t>2026-05-19-10.26.25.887000</t>
  </si>
  <si>
    <t>購買共計手数料配分計算データ (DAC322_KobaiKyokeiTesuryoHaibunKeisanData)</t>
    <phoneticPr fontId="4"/>
  </si>
  <si>
    <t>2024</t>
    <phoneticPr fontId="4"/>
  </si>
  <si>
    <t>111</t>
    <phoneticPr fontId="4"/>
  </si>
  <si>
    <t>購買手数料配分情報(DAC119_KobaiTesuryoHaibunJoho)</t>
    <phoneticPr fontId="4"/>
  </si>
  <si>
    <t>100003</t>
  </si>
  <si>
    <r>
      <t>100004</t>
    </r>
    <r>
      <rPr>
        <sz val="11"/>
        <rFont val="Noto Sans JP"/>
        <family val="3"/>
        <charset val="134"/>
      </rPr>
      <t/>
    </r>
  </si>
  <si>
    <t>100005</t>
  </si>
  <si>
    <r>
      <t>10000</t>
    </r>
    <r>
      <rPr>
        <sz val="11"/>
        <rFont val="ＭＳ ゴシック"/>
        <family val="3"/>
        <charset val="128"/>
      </rPr>
      <t>2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</si>
</sst>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.00_);_(* \(#,##0.00\);_(* &quot;-&quot;??_);_(@_)"/>
    <numFmt numFmtId="177" formatCode="&quot;$&quot;#,##0_);\(&quot;$&quot;#,##0\)"/>
    <numFmt numFmtId="178" formatCode="#,##0;\-#,##0;&quot;-&quot;"/>
    <numFmt numFmtId="179" formatCode="&quot;$&quot;#,##0;[Red]\-&quot;$&quot;#,##0"/>
    <numFmt numFmtId="180" formatCode="&quot;$&quot;#,##0.00;[Red]\-&quot;$&quot;#,##0.00"/>
    <numFmt numFmtId="181" formatCode="0.0000000000"/>
    <numFmt numFmtId="182" formatCode="yyyy/mm/dd\ hh:mm:ss"/>
  </numFmts>
  <fonts count="6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・団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color indexed="22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1"/>
      <color rgb="FF0000FF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10"/>
      <color rgb="FF0000FF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10"/>
      <name val="Noto Sans JP"/>
      <family val="3"/>
      <charset val="134"/>
    </font>
    <font>
      <sz val="8"/>
      <name val="ＭＳ 明朝"/>
      <family val="1"/>
      <charset val="128"/>
    </font>
    <font>
      <b/>
      <sz val="11"/>
      <name val="ＭＳ ゴシック"/>
      <family val="3"/>
      <charset val="128"/>
    </font>
    <font>
      <sz val="11"/>
      <name val="Noto Sans JP"/>
      <family val="3"/>
      <charset val="134"/>
    </font>
    <font>
      <sz val="11"/>
      <color rgb="FFFF0000"/>
      <name val="ＭＳ ゴシック"/>
      <family val="3"/>
      <charset val="128"/>
    </font>
    <font>
      <sz val="10"/>
      <name val="ＭＳ Ｐゴシック"/>
      <family val="3"/>
      <charset val="128"/>
      <scheme val="major"/>
    </font>
    <font>
      <sz val="12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11"/>
      <name val="Noto Sans JP"/>
      <family val="3"/>
      <charset val="134"/>
    </font>
    <font>
      <b/>
      <sz val="12"/>
      <name val="ＭＳ ゴシック"/>
      <family val="3"/>
      <charset val="128"/>
    </font>
    <font>
      <b/>
      <sz val="11"/>
      <name val="ＭＳ 明朝"/>
      <family val="1"/>
      <charset val="128"/>
    </font>
    <font>
      <sz val="11"/>
      <name val="ＭＳ 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87E7AD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rgb="FF000000"/>
      </patternFill>
    </fill>
  </fills>
  <borders count="5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34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3" fillId="0" borderId="0">
      <alignment vertical="center" wrapText="1"/>
    </xf>
    <xf numFmtId="177" fontId="34" fillId="0" borderId="1" applyAlignment="0" applyProtection="0"/>
    <xf numFmtId="178" fontId="35" fillId="0" borderId="0" applyFill="0" applyBorder="0" applyAlignment="0"/>
    <xf numFmtId="0" fontId="36" fillId="0" borderId="0"/>
    <xf numFmtId="38" fontId="37" fillId="0" borderId="0" applyFont="0" applyFill="0" applyBorder="0" applyAlignment="0" applyProtection="0"/>
    <xf numFmtId="176" fontId="38" fillId="0" borderId="0" applyFont="0" applyFill="0" applyBorder="0" applyAlignment="0" applyProtection="0"/>
    <xf numFmtId="179" fontId="37" fillId="0" borderId="0" applyFont="0" applyFill="0" applyBorder="0" applyAlignment="0" applyProtection="0"/>
    <xf numFmtId="180" fontId="37" fillId="0" borderId="0" applyFont="0" applyFill="0" applyBorder="0" applyAlignment="0" applyProtection="0"/>
    <xf numFmtId="38" fontId="39" fillId="16" borderId="0" applyNumberFormat="0" applyBorder="0" applyAlignment="0" applyProtection="0"/>
    <xf numFmtId="0" fontId="40" fillId="0" borderId="0">
      <alignment horizontal="left"/>
    </xf>
    <xf numFmtId="0" fontId="41" fillId="0" borderId="2" applyNumberFormat="0" applyAlignment="0" applyProtection="0">
      <alignment horizontal="left" vertical="center"/>
    </xf>
    <xf numFmtId="0" fontId="41" fillId="0" borderId="3">
      <alignment horizontal="left" vertical="center"/>
    </xf>
    <xf numFmtId="10" fontId="39" fillId="16" borderId="4" applyNumberFormat="0" applyBorder="0" applyAlignment="0" applyProtection="0"/>
    <xf numFmtId="0" fontId="42" fillId="0" borderId="5"/>
    <xf numFmtId="181" fontId="9" fillId="0" borderId="0"/>
    <xf numFmtId="181" fontId="9" fillId="0" borderId="0"/>
    <xf numFmtId="181" fontId="9" fillId="0" borderId="0"/>
    <xf numFmtId="0" fontId="38" fillId="0" borderId="0"/>
    <xf numFmtId="10" fontId="38" fillId="0" borderId="0" applyFont="0" applyFill="0" applyBorder="0" applyAlignment="0" applyProtection="0"/>
    <xf numFmtId="0" fontId="37" fillId="0" borderId="0" applyNumberFormat="0" applyFont="0" applyFill="0" applyBorder="0" applyAlignment="0" applyProtection="0">
      <alignment horizontal="left"/>
    </xf>
    <xf numFmtId="0" fontId="34" fillId="0" borderId="5">
      <alignment horizontal="center"/>
    </xf>
    <xf numFmtId="0" fontId="43" fillId="0" borderId="6"/>
    <xf numFmtId="0" fontId="42" fillId="0" borderId="0"/>
    <xf numFmtId="0" fontId="43" fillId="0" borderId="0"/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7" applyNumberFormat="0" applyAlignment="0" applyProtection="0">
      <alignment vertical="center"/>
    </xf>
    <xf numFmtId="0" fontId="14" fillId="21" borderId="7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1" fillId="23" borderId="8" applyNumberFormat="0" applyFont="0" applyAlignment="0" applyProtection="0">
      <alignment vertical="center"/>
    </xf>
    <xf numFmtId="0" fontId="7" fillId="23" borderId="8" applyNumberFormat="0" applyFon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24" borderId="10" applyNumberFormat="0" applyAlignment="0" applyProtection="0">
      <alignment vertical="center"/>
    </xf>
    <xf numFmtId="0" fontId="18" fillId="24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24" borderId="15" applyNumberFormat="0" applyAlignment="0" applyProtection="0">
      <alignment vertical="center"/>
    </xf>
    <xf numFmtId="0" fontId="24" fillId="24" borderId="1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>
      <alignment horizontal="center" vertical="center"/>
    </xf>
    <xf numFmtId="0" fontId="26" fillId="7" borderId="10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5" fillId="0" borderId="0"/>
    <xf numFmtId="0" fontId="44" fillId="0" borderId="0"/>
    <xf numFmtId="0" fontId="45" fillId="0" borderId="0"/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24" borderId="15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>
      <alignment vertical="center"/>
    </xf>
    <xf numFmtId="0" fontId="7" fillId="0" borderId="0" xfId="110" applyFont="1" applyAlignment="1">
      <alignment vertical="center"/>
    </xf>
    <xf numFmtId="0" fontId="7" fillId="0" borderId="0" xfId="110" applyFont="1" applyAlignment="1">
      <alignment vertical="top"/>
    </xf>
    <xf numFmtId="0" fontId="8" fillId="0" borderId="0" xfId="0" applyFont="1">
      <alignment vertical="center"/>
    </xf>
    <xf numFmtId="0" fontId="7" fillId="0" borderId="4" xfId="0" applyFont="1" applyBorder="1" applyAlignment="1">
      <alignment horizontal="left" vertical="top" wrapText="1"/>
    </xf>
    <xf numFmtId="0" fontId="7" fillId="0" borderId="0" xfId="110" applyFont="1" applyAlignment="1">
      <alignment vertical="top" wrapText="1"/>
    </xf>
    <xf numFmtId="49" fontId="7" fillId="0" borderId="0" xfId="110" applyNumberFormat="1" applyFont="1" applyAlignment="1">
      <alignment vertical="top" wrapText="1"/>
    </xf>
    <xf numFmtId="0" fontId="7" fillId="0" borderId="0" xfId="110" applyFont="1" applyAlignment="1">
      <alignment horizontal="center" vertical="top" wrapText="1"/>
    </xf>
    <xf numFmtId="0" fontId="9" fillId="0" borderId="0" xfId="107">
      <alignment vertical="center"/>
    </xf>
    <xf numFmtId="49" fontId="46" fillId="25" borderId="0" xfId="107" applyNumberFormat="1" applyFont="1" applyFill="1" applyAlignment="1">
      <alignment horizontal="left" vertical="top" wrapText="1"/>
    </xf>
    <xf numFmtId="49" fontId="9" fillId="25" borderId="0" xfId="107" applyNumberFormat="1" applyFill="1" applyAlignment="1">
      <alignment horizontal="left" vertical="top" wrapText="1"/>
    </xf>
    <xf numFmtId="0" fontId="31" fillId="0" borderId="0" xfId="107" applyFont="1">
      <alignment vertical="center"/>
    </xf>
    <xf numFmtId="0" fontId="9" fillId="25" borderId="0" xfId="107" applyFill="1">
      <alignment vertical="center"/>
    </xf>
    <xf numFmtId="0" fontId="32" fillId="25" borderId="0" xfId="107" applyFont="1" applyFill="1">
      <alignment vertical="center"/>
    </xf>
    <xf numFmtId="0" fontId="7" fillId="0" borderId="0" xfId="0" applyFont="1" applyAlignment="1">
      <alignment vertical="top" wrapText="1"/>
    </xf>
    <xf numFmtId="0" fontId="7" fillId="0" borderId="0" xfId="110" applyFont="1" applyAlignment="1">
      <alignment vertical="center" wrapText="1"/>
    </xf>
    <xf numFmtId="0" fontId="7" fillId="0" borderId="4" xfId="0" applyFont="1" applyBorder="1" applyAlignment="1">
      <alignment horizontal="right" vertical="top" wrapText="1"/>
    </xf>
    <xf numFmtId="0" fontId="7" fillId="0" borderId="0" xfId="0" applyFont="1" applyAlignment="1">
      <alignment vertical="center" wrapText="1"/>
    </xf>
    <xf numFmtId="0" fontId="7" fillId="26" borderId="4" xfId="108" applyFont="1" applyFill="1" applyBorder="1" applyAlignment="1">
      <alignment horizontal="center" vertical="top" wrapText="1"/>
    </xf>
    <xf numFmtId="0" fontId="7" fillId="0" borderId="40" xfId="108" applyFont="1" applyBorder="1" applyAlignment="1">
      <alignment horizontal="right" vertical="top" wrapText="1"/>
    </xf>
    <xf numFmtId="0" fontId="7" fillId="0" borderId="0" xfId="109" applyFont="1" applyAlignment="1">
      <alignment horizontal="left" vertical="top" wrapText="1"/>
    </xf>
    <xf numFmtId="0" fontId="7" fillId="0" borderId="18" xfId="108" applyFont="1" applyBorder="1" applyAlignment="1">
      <alignment horizontal="center" vertical="center" wrapText="1"/>
    </xf>
    <xf numFmtId="0" fontId="7" fillId="16" borderId="44" xfId="108" applyFont="1" applyFill="1" applyBorder="1" applyAlignment="1">
      <alignment horizontal="left" vertical="top" wrapText="1"/>
    </xf>
    <xf numFmtId="0" fontId="7" fillId="0" borderId="45" xfId="108" applyFont="1" applyBorder="1" applyAlignment="1">
      <alignment horizontal="center" vertical="center" wrapText="1"/>
    </xf>
    <xf numFmtId="0" fontId="7" fillId="26" borderId="4" xfId="0" applyFont="1" applyFill="1" applyBorder="1" applyAlignment="1">
      <alignment horizontal="center" vertical="center" wrapText="1"/>
    </xf>
    <xf numFmtId="0" fontId="7" fillId="26" borderId="43" xfId="108" applyFont="1" applyFill="1" applyBorder="1" applyAlignment="1">
      <alignment horizontal="left" vertical="top" wrapText="1"/>
    </xf>
    <xf numFmtId="0" fontId="8" fillId="26" borderId="16" xfId="0" applyFont="1" applyFill="1" applyBorder="1" applyAlignment="1">
      <alignment horizontal="center" vertical="center"/>
    </xf>
    <xf numFmtId="0" fontId="7" fillId="26" borderId="17" xfId="0" applyFont="1" applyFill="1" applyBorder="1" applyAlignment="1">
      <alignment horizontal="center" vertical="center" wrapText="1"/>
    </xf>
    <xf numFmtId="0" fontId="7" fillId="26" borderId="42" xfId="108" applyFont="1" applyFill="1" applyBorder="1" applyAlignment="1">
      <alignment horizontal="center" vertical="top" wrapText="1"/>
    </xf>
    <xf numFmtId="0" fontId="7" fillId="26" borderId="16" xfId="108" applyFont="1" applyFill="1" applyBorder="1" applyAlignment="1">
      <alignment horizontal="left" vertical="center" wrapText="1"/>
    </xf>
    <xf numFmtId="0" fontId="7" fillId="26" borderId="17" xfId="108" applyFont="1" applyFill="1" applyBorder="1" applyAlignment="1">
      <alignment horizontal="center" vertical="top" wrapText="1"/>
    </xf>
    <xf numFmtId="0" fontId="7" fillId="0" borderId="0" xfId="110" applyFont="1" applyAlignment="1">
      <alignment horizontal="center" vertical="center" wrapText="1"/>
    </xf>
    <xf numFmtId="0" fontId="9" fillId="0" borderId="0" xfId="107" applyAlignment="1">
      <alignment horizontal="right" vertical="center"/>
    </xf>
    <xf numFmtId="0" fontId="46" fillId="25" borderId="0" xfId="107" applyFont="1" applyFill="1" applyAlignment="1">
      <alignment horizontal="center" vertical="center"/>
    </xf>
    <xf numFmtId="0" fontId="7" fillId="0" borderId="48" xfId="0" applyFont="1" applyBorder="1" applyAlignment="1">
      <alignment horizontal="center" vertical="top" wrapText="1"/>
    </xf>
    <xf numFmtId="14" fontId="7" fillId="0" borderId="49" xfId="0" applyNumberFormat="1" applyFont="1" applyBorder="1" applyAlignment="1">
      <alignment horizontal="center" vertical="top" wrapText="1"/>
    </xf>
    <xf numFmtId="0" fontId="7" fillId="26" borderId="16" xfId="0" applyFont="1" applyFill="1" applyBorder="1" applyAlignment="1">
      <alignment horizontal="center" vertical="center" wrapText="1"/>
    </xf>
    <xf numFmtId="49" fontId="44" fillId="0" borderId="0" xfId="0" applyNumberFormat="1" applyFont="1">
      <alignment vertical="center"/>
    </xf>
    <xf numFmtId="0" fontId="7" fillId="27" borderId="3" xfId="109" applyFont="1" applyFill="1" applyBorder="1" applyAlignment="1">
      <alignment horizontal="left" vertical="top" wrapText="1"/>
    </xf>
    <xf numFmtId="0" fontId="44" fillId="0" borderId="0" xfId="0" applyFont="1">
      <alignment vertical="center"/>
    </xf>
    <xf numFmtId="0" fontId="44" fillId="30" borderId="50" xfId="0" applyFont="1" applyFill="1" applyBorder="1" applyAlignment="1">
      <alignment vertical="center" wrapText="1"/>
    </xf>
    <xf numFmtId="0" fontId="44" fillId="30" borderId="50" xfId="0" applyFont="1" applyFill="1" applyBorder="1">
      <alignment vertical="center"/>
    </xf>
    <xf numFmtId="0" fontId="44" fillId="0" borderId="50" xfId="0" applyFont="1" applyBorder="1" applyAlignment="1">
      <alignment vertical="center" wrapText="1"/>
    </xf>
    <xf numFmtId="0" fontId="44" fillId="29" borderId="0" xfId="0" applyFont="1" applyFill="1">
      <alignment vertical="center"/>
    </xf>
    <xf numFmtId="0" fontId="44" fillId="0" borderId="50" xfId="0" applyFont="1" applyBorder="1" applyAlignment="1">
      <alignment horizontal="left" vertical="center"/>
    </xf>
    <xf numFmtId="0" fontId="44" fillId="0" borderId="50" xfId="0" applyFont="1" applyBorder="1" applyAlignment="1">
      <alignment vertical="top" wrapText="1"/>
    </xf>
    <xf numFmtId="0" fontId="54" fillId="31" borderId="4" xfId="131" applyFont="1" applyFill="1" applyBorder="1" applyAlignment="1">
      <alignment vertical="center" wrapText="1"/>
    </xf>
    <xf numFmtId="0" fontId="11" fillId="0" borderId="4" xfId="131" applyBorder="1">
      <alignment vertical="center"/>
    </xf>
    <xf numFmtId="1" fontId="11" fillId="0" borderId="4" xfId="131" applyNumberFormat="1" applyBorder="1">
      <alignment vertical="center"/>
    </xf>
    <xf numFmtId="0" fontId="11" fillId="29" borderId="4" xfId="131" applyFill="1" applyBorder="1">
      <alignment vertical="center"/>
    </xf>
    <xf numFmtId="0" fontId="44" fillId="32" borderId="4" xfId="0" applyFont="1" applyFill="1" applyBorder="1">
      <alignment vertical="center"/>
    </xf>
    <xf numFmtId="1" fontId="11" fillId="29" borderId="4" xfId="131" applyNumberFormat="1" applyFill="1" applyBorder="1">
      <alignment vertical="center"/>
    </xf>
    <xf numFmtId="0" fontId="55" fillId="0" borderId="4" xfId="131" applyFont="1" applyBorder="1">
      <alignment vertical="center"/>
    </xf>
    <xf numFmtId="182" fontId="11" fillId="0" borderId="4" xfId="131" applyNumberFormat="1" applyBorder="1">
      <alignment vertical="center"/>
    </xf>
    <xf numFmtId="182" fontId="11" fillId="29" borderId="4" xfId="131" applyNumberFormat="1" applyFill="1" applyBorder="1">
      <alignment vertical="center"/>
    </xf>
    <xf numFmtId="49" fontId="7" fillId="0" borderId="3" xfId="0" applyNumberFormat="1" applyFont="1" applyBorder="1" applyAlignment="1">
      <alignment vertical="center" wrapText="1"/>
    </xf>
    <xf numFmtId="49" fontId="56" fillId="0" borderId="3" xfId="0" applyNumberFormat="1" applyFont="1" applyBorder="1" applyAlignment="1">
      <alignment vertical="center" wrapText="1"/>
    </xf>
    <xf numFmtId="49" fontId="7" fillId="0" borderId="0" xfId="110" applyNumberFormat="1" applyFont="1" applyAlignment="1">
      <alignment vertical="center"/>
    </xf>
    <xf numFmtId="49" fontId="7" fillId="26" borderId="4" xfId="108" applyNumberFormat="1" applyFont="1" applyFill="1" applyBorder="1" applyAlignment="1">
      <alignment horizontal="left" vertical="center" wrapText="1"/>
    </xf>
    <xf numFmtId="49" fontId="7" fillId="0" borderId="4" xfId="108" applyNumberFormat="1" applyFont="1" applyBorder="1" applyAlignment="1">
      <alignment horizontal="left" vertical="center" wrapText="1"/>
    </xf>
    <xf numFmtId="49" fontId="7" fillId="0" borderId="3" xfId="108" applyNumberFormat="1" applyFont="1" applyBorder="1" applyAlignment="1">
      <alignment horizontal="right" vertical="center" wrapText="1"/>
    </xf>
    <xf numFmtId="49" fontId="7" fillId="0" borderId="4" xfId="108" applyNumberFormat="1" applyFont="1" applyBorder="1" applyAlignment="1">
      <alignment horizontal="center" vertical="center" wrapText="1"/>
    </xf>
    <xf numFmtId="49" fontId="53" fillId="0" borderId="0" xfId="110" applyNumberFormat="1" applyFont="1" applyAlignment="1">
      <alignment vertical="center"/>
    </xf>
    <xf numFmtId="49" fontId="7" fillId="0" borderId="0" xfId="110" applyNumberFormat="1" applyFont="1" applyAlignment="1">
      <alignment vertical="top"/>
    </xf>
    <xf numFmtId="49" fontId="7" fillId="26" borderId="16" xfId="108" applyNumberFormat="1" applyFont="1" applyFill="1" applyBorder="1" applyAlignment="1">
      <alignment horizontal="left" vertical="center" wrapText="1"/>
    </xf>
    <xf numFmtId="49" fontId="7" fillId="26" borderId="4" xfId="108" applyNumberFormat="1" applyFont="1" applyFill="1" applyBorder="1" applyAlignment="1">
      <alignment horizontal="center" vertical="top" wrapText="1"/>
    </xf>
    <xf numFmtId="49" fontId="7" fillId="26" borderId="42" xfId="108" applyNumberFormat="1" applyFont="1" applyFill="1" applyBorder="1" applyAlignment="1">
      <alignment horizontal="center" vertical="top" wrapText="1"/>
    </xf>
    <xf numFmtId="49" fontId="7" fillId="26" borderId="19" xfId="108" applyNumberFormat="1" applyFont="1" applyFill="1" applyBorder="1" applyAlignment="1">
      <alignment vertical="top" wrapText="1"/>
    </xf>
    <xf numFmtId="49" fontId="7" fillId="26" borderId="3" xfId="108" applyNumberFormat="1" applyFont="1" applyFill="1" applyBorder="1" applyAlignment="1">
      <alignment vertical="top" wrapText="1"/>
    </xf>
    <xf numFmtId="49" fontId="7" fillId="26" borderId="19" xfId="108" applyNumberFormat="1" applyFont="1" applyFill="1" applyBorder="1" applyAlignment="1">
      <alignment horizontal="left" vertical="top" wrapText="1"/>
    </xf>
    <xf numFmtId="49" fontId="7" fillId="26" borderId="40" xfId="108" applyNumberFormat="1" applyFont="1" applyFill="1" applyBorder="1" applyAlignment="1">
      <alignment horizontal="left" vertical="top" wrapText="1"/>
    </xf>
    <xf numFmtId="49" fontId="7" fillId="0" borderId="4" xfId="108" applyNumberFormat="1" applyFont="1" applyBorder="1" applyAlignment="1">
      <alignment horizontal="right" vertical="top" wrapText="1"/>
    </xf>
    <xf numFmtId="49" fontId="7" fillId="27" borderId="3" xfId="109" applyNumberFormat="1" applyFont="1" applyFill="1" applyBorder="1" applyAlignment="1">
      <alignment vertical="top" wrapText="1"/>
    </xf>
    <xf numFmtId="49" fontId="7" fillId="27" borderId="19" xfId="108" applyNumberFormat="1" applyFont="1" applyFill="1" applyBorder="1" applyAlignment="1">
      <alignment horizontal="left" vertical="top" wrapText="1"/>
    </xf>
    <xf numFmtId="49" fontId="7" fillId="27" borderId="4" xfId="108" applyNumberFormat="1" applyFont="1" applyFill="1" applyBorder="1" applyAlignment="1">
      <alignment horizontal="center" vertical="center" wrapText="1"/>
    </xf>
    <xf numFmtId="49" fontId="7" fillId="28" borderId="3" xfId="109" applyNumberFormat="1" applyFont="1" applyFill="1" applyBorder="1" applyAlignment="1">
      <alignment vertical="top" wrapText="1"/>
    </xf>
    <xf numFmtId="49" fontId="7" fillId="28" borderId="19" xfId="108" applyNumberFormat="1" applyFont="1" applyFill="1" applyBorder="1" applyAlignment="1">
      <alignment horizontal="left" vertical="top" wrapText="1"/>
    </xf>
    <xf numFmtId="49" fontId="7" fillId="28" borderId="4" xfId="108" applyNumberFormat="1" applyFont="1" applyFill="1" applyBorder="1" applyAlignment="1">
      <alignment horizontal="center" vertical="center" wrapText="1"/>
    </xf>
    <xf numFmtId="49" fontId="7" fillId="0" borderId="19" xfId="108" applyNumberFormat="1" applyFont="1" applyBorder="1" applyAlignment="1">
      <alignment horizontal="left" vertical="top" wrapText="1"/>
    </xf>
    <xf numFmtId="49" fontId="7" fillId="0" borderId="3" xfId="108" applyNumberFormat="1" applyFont="1" applyBorder="1" applyAlignment="1">
      <alignment horizontal="left" vertical="top" wrapText="1"/>
    </xf>
    <xf numFmtId="49" fontId="7" fillId="0" borderId="0" xfId="108" applyNumberFormat="1" applyFont="1"/>
    <xf numFmtId="49" fontId="7" fillId="26" borderId="20" xfId="108" applyNumberFormat="1" applyFont="1" applyFill="1" applyBorder="1" applyAlignment="1">
      <alignment horizontal="left" vertical="top" wrapText="1"/>
    </xf>
    <xf numFmtId="49" fontId="7" fillId="26" borderId="3" xfId="108" applyNumberFormat="1" applyFont="1" applyFill="1" applyBorder="1" applyAlignment="1">
      <alignment horizontal="right" vertical="top" wrapText="1"/>
    </xf>
    <xf numFmtId="49" fontId="7" fillId="26" borderId="3" xfId="108" applyNumberFormat="1" applyFont="1" applyFill="1" applyBorder="1" applyAlignment="1">
      <alignment horizontal="left" vertical="top" wrapText="1"/>
    </xf>
    <xf numFmtId="49" fontId="7" fillId="26" borderId="3" xfId="108" applyNumberFormat="1" applyFont="1" applyFill="1" applyBorder="1" applyAlignment="1">
      <alignment horizontal="center" vertical="center" wrapText="1"/>
    </xf>
    <xf numFmtId="49" fontId="7" fillId="26" borderId="19" xfId="108" applyNumberFormat="1" applyFont="1" applyFill="1" applyBorder="1" applyAlignment="1">
      <alignment horizontal="center" vertical="center" wrapText="1"/>
    </xf>
    <xf numFmtId="49" fontId="7" fillId="0" borderId="3" xfId="109" applyNumberFormat="1" applyFont="1" applyBorder="1" applyAlignment="1">
      <alignment horizontal="left" vertical="top" wrapText="1"/>
    </xf>
    <xf numFmtId="49" fontId="7" fillId="26" borderId="43" xfId="108" applyNumberFormat="1" applyFont="1" applyFill="1" applyBorder="1" applyAlignment="1">
      <alignment horizontal="left" vertical="top" wrapText="1"/>
    </xf>
    <xf numFmtId="49" fontId="7" fillId="0" borderId="18" xfId="108" applyNumberFormat="1" applyFont="1" applyBorder="1" applyAlignment="1">
      <alignment horizontal="center" vertical="center" wrapText="1"/>
    </xf>
    <xf numFmtId="49" fontId="7" fillId="0" borderId="45" xfId="108" applyNumberFormat="1" applyFont="1" applyBorder="1" applyAlignment="1">
      <alignment horizontal="center" vertical="center" wrapText="1"/>
    </xf>
    <xf numFmtId="49" fontId="7" fillId="0" borderId="16" xfId="108" applyNumberFormat="1" applyFont="1" applyBorder="1" applyAlignment="1">
      <alignment horizontal="right" vertical="top" wrapText="1"/>
    </xf>
    <xf numFmtId="49" fontId="7" fillId="0" borderId="46" xfId="109" applyNumberFormat="1" applyFont="1" applyBorder="1" applyAlignment="1">
      <alignment horizontal="left" vertical="top" wrapText="1"/>
    </xf>
    <xf numFmtId="49" fontId="7" fillId="0" borderId="41" xfId="108" applyNumberFormat="1" applyFont="1" applyBorder="1" applyAlignment="1">
      <alignment horizontal="right" vertical="top" wrapText="1"/>
    </xf>
    <xf numFmtId="49" fontId="7" fillId="0" borderId="47" xfId="109" applyNumberFormat="1" applyFont="1" applyBorder="1" applyAlignment="1">
      <alignment horizontal="left" vertical="top" wrapText="1"/>
    </xf>
    <xf numFmtId="49" fontId="7" fillId="26" borderId="20" xfId="108" applyNumberFormat="1" applyFont="1" applyFill="1" applyBorder="1" applyAlignment="1">
      <alignment horizontal="left" vertical="center" wrapText="1"/>
    </xf>
    <xf numFmtId="49" fontId="7" fillId="0" borderId="0" xfId="108" applyNumberFormat="1" applyFont="1" applyAlignment="1">
      <alignment wrapText="1"/>
    </xf>
    <xf numFmtId="49" fontId="7" fillId="0" borderId="0" xfId="108" applyNumberFormat="1" applyFont="1" applyAlignment="1">
      <alignment horizontal="center" wrapText="1"/>
    </xf>
    <xf numFmtId="49" fontId="7" fillId="0" borderId="0" xfId="108" applyNumberFormat="1" applyFont="1" applyAlignment="1">
      <alignment vertical="top" wrapText="1"/>
    </xf>
    <xf numFmtId="49" fontId="7" fillId="0" borderId="0" xfId="108" applyNumberFormat="1" applyFont="1" applyAlignment="1">
      <alignment vertical="top" textRotation="255"/>
    </xf>
    <xf numFmtId="49" fontId="7" fillId="0" borderId="0" xfId="108" applyNumberFormat="1" applyFont="1" applyAlignment="1">
      <alignment vertical="center" textRotation="255"/>
    </xf>
    <xf numFmtId="49" fontId="0" fillId="0" borderId="0" xfId="0" applyNumberFormat="1">
      <alignment vertical="center"/>
    </xf>
    <xf numFmtId="49" fontId="58" fillId="0" borderId="0" xfId="0" applyNumberFormat="1" applyFont="1">
      <alignment vertical="center"/>
    </xf>
    <xf numFmtId="49" fontId="44" fillId="30" borderId="50" xfId="0" applyNumberFormat="1" applyFont="1" applyFill="1" applyBorder="1">
      <alignment vertical="center"/>
    </xf>
    <xf numFmtId="0" fontId="61" fillId="0" borderId="3" xfId="109" applyFont="1" applyBorder="1" applyAlignment="1">
      <alignment horizontal="left" vertical="top" wrapText="1"/>
    </xf>
    <xf numFmtId="0" fontId="62" fillId="33" borderId="4" xfId="0" applyFont="1" applyFill="1" applyBorder="1">
      <alignment vertical="center"/>
    </xf>
    <xf numFmtId="49" fontId="63" fillId="0" borderId="4" xfId="0" applyNumberFormat="1" applyFont="1" applyBorder="1">
      <alignment vertical="center"/>
    </xf>
    <xf numFmtId="0" fontId="58" fillId="0" borderId="0" xfId="0" applyFont="1">
      <alignment vertical="center"/>
    </xf>
    <xf numFmtId="49" fontId="61" fillId="28" borderId="3" xfId="109" applyNumberFormat="1" applyFont="1" applyFill="1" applyBorder="1" applyAlignment="1">
      <alignment vertical="top" wrapText="1"/>
    </xf>
    <xf numFmtId="49" fontId="0" fillId="0" borderId="4" xfId="0" applyNumberFormat="1" applyBorder="1">
      <alignment vertical="center"/>
    </xf>
    <xf numFmtId="49" fontId="44" fillId="30" borderId="52" xfId="0" applyNumberFormat="1" applyFont="1" applyFill="1" applyBorder="1">
      <alignment vertical="center"/>
    </xf>
    <xf numFmtId="49" fontId="44" fillId="30" borderId="51" xfId="0" applyNumberFormat="1" applyFont="1" applyFill="1" applyBorder="1">
      <alignment vertical="center"/>
    </xf>
    <xf numFmtId="49" fontId="44" fillId="30" borderId="53" xfId="0" applyNumberFormat="1" applyFont="1" applyFill="1" applyBorder="1">
      <alignment vertical="center"/>
    </xf>
    <xf numFmtId="49" fontId="60" fillId="0" borderId="4" xfId="0" applyNumberFormat="1" applyFont="1" applyBorder="1">
      <alignment vertical="center"/>
    </xf>
    <xf numFmtId="49" fontId="0" fillId="29" borderId="4" xfId="0" applyNumberFormat="1" applyFill="1" applyBorder="1">
      <alignment vertical="center"/>
    </xf>
    <xf numFmtId="49" fontId="0" fillId="0" borderId="17" xfId="0" applyNumberFormat="1" applyBorder="1">
      <alignment vertical="center"/>
    </xf>
    <xf numFmtId="49" fontId="59" fillId="0" borderId="0" xfId="0" applyNumberFormat="1" applyFont="1">
      <alignment vertical="center"/>
    </xf>
    <xf numFmtId="49" fontId="44" fillId="30" borderId="4" xfId="0" applyNumberFormat="1" applyFont="1" applyFill="1" applyBorder="1">
      <alignment vertical="center"/>
    </xf>
    <xf numFmtId="49" fontId="59" fillId="0" borderId="4" xfId="0" applyNumberFormat="1" applyFont="1" applyBorder="1">
      <alignment vertical="center"/>
    </xf>
    <xf numFmtId="49" fontId="0" fillId="29" borderId="17" xfId="0" applyNumberFormat="1" applyFill="1" applyBorder="1">
      <alignment vertical="center"/>
    </xf>
    <xf numFmtId="49" fontId="44" fillId="34" borderId="50" xfId="0" applyNumberFormat="1" applyFont="1" applyFill="1" applyBorder="1">
      <alignment vertical="center"/>
    </xf>
    <xf numFmtId="49" fontId="44" fillId="34" borderId="51" xfId="0" applyNumberFormat="1" applyFont="1" applyFill="1" applyBorder="1">
      <alignment vertical="center"/>
    </xf>
    <xf numFmtId="49" fontId="0" fillId="0" borderId="4" xfId="0" applyNumberFormat="1" applyBorder="1" applyAlignment="1">
      <alignment vertical="center" wrapText="1"/>
    </xf>
    <xf numFmtId="49" fontId="62" fillId="33" borderId="4" xfId="0" applyNumberFormat="1" applyFont="1" applyFill="1" applyBorder="1">
      <alignment vertical="center"/>
    </xf>
    <xf numFmtId="0" fontId="0" fillId="0" borderId="4" xfId="0" applyBorder="1">
      <alignment vertical="center"/>
    </xf>
    <xf numFmtId="49" fontId="65" fillId="33" borderId="4" xfId="0" applyNumberFormat="1" applyFont="1" applyFill="1" applyBorder="1">
      <alignment vertical="center"/>
    </xf>
    <xf numFmtId="0" fontId="63" fillId="0" borderId="4" xfId="0" applyFont="1" applyBorder="1">
      <alignment vertical="center"/>
    </xf>
    <xf numFmtId="49" fontId="66" fillId="34" borderId="50" xfId="0" applyNumberFormat="1" applyFont="1" applyFill="1" applyBorder="1">
      <alignment vertical="center"/>
    </xf>
    <xf numFmtId="0" fontId="0" fillId="0" borderId="4" xfId="0" applyBorder="1" applyAlignment="1">
      <alignment horizontal="left" vertical="center"/>
    </xf>
    <xf numFmtId="49" fontId="56" fillId="0" borderId="4" xfId="108" applyNumberFormat="1" applyFont="1" applyBorder="1" applyAlignment="1">
      <alignment horizontal="center" vertical="center" wrapText="1"/>
    </xf>
    <xf numFmtId="49" fontId="66" fillId="30" borderId="50" xfId="0" applyNumberFormat="1" applyFont="1" applyFill="1" applyBorder="1">
      <alignment vertical="center"/>
    </xf>
    <xf numFmtId="49" fontId="44" fillId="35" borderId="50" xfId="0" applyNumberFormat="1" applyFont="1" applyFill="1" applyBorder="1">
      <alignment vertical="center"/>
    </xf>
    <xf numFmtId="0" fontId="59" fillId="0" borderId="4" xfId="0" quotePrefix="1" applyFont="1" applyBorder="1">
      <alignment vertical="center"/>
    </xf>
    <xf numFmtId="49" fontId="58" fillId="0" borderId="4" xfId="0" applyNumberFormat="1" applyFont="1" applyBorder="1">
      <alignment vertical="center"/>
    </xf>
    <xf numFmtId="0" fontId="59" fillId="0" borderId="4" xfId="0" applyFont="1" applyBorder="1">
      <alignment vertical="center"/>
    </xf>
    <xf numFmtId="49" fontId="7" fillId="0" borderId="19" xfId="108" applyNumberFormat="1" applyFont="1" applyBorder="1" applyAlignment="1">
      <alignment horizontal="center" vertical="center" wrapText="1"/>
    </xf>
    <xf numFmtId="49" fontId="7" fillId="0" borderId="4" xfId="108" applyNumberFormat="1" applyFont="1" applyBorder="1"/>
    <xf numFmtId="49" fontId="61" fillId="0" borderId="4" xfId="108" applyNumberFormat="1" applyFont="1" applyBorder="1" applyAlignment="1">
      <alignment horizontal="right" vertical="top" wrapText="1"/>
    </xf>
    <xf numFmtId="0" fontId="32" fillId="0" borderId="21" xfId="107" applyFont="1" applyBorder="1" applyAlignment="1">
      <alignment horizontal="center" vertical="center"/>
    </xf>
    <xf numFmtId="0" fontId="32" fillId="0" borderId="22" xfId="107" applyFont="1" applyBorder="1" applyAlignment="1">
      <alignment horizontal="center" vertical="center"/>
    </xf>
    <xf numFmtId="0" fontId="32" fillId="0" borderId="23" xfId="107" applyFont="1" applyBorder="1" applyAlignment="1">
      <alignment horizontal="center" vertical="center"/>
    </xf>
    <xf numFmtId="0" fontId="9" fillId="26" borderId="24" xfId="107" applyFill="1" applyBorder="1" applyAlignment="1">
      <alignment horizontal="center" vertical="center"/>
    </xf>
    <xf numFmtId="0" fontId="9" fillId="26" borderId="25" xfId="107" applyFill="1" applyBorder="1" applyAlignment="1">
      <alignment horizontal="center" vertical="center"/>
    </xf>
    <xf numFmtId="0" fontId="9" fillId="26" borderId="26" xfId="107" applyFill="1" applyBorder="1" applyAlignment="1">
      <alignment horizontal="center" vertical="center"/>
    </xf>
    <xf numFmtId="0" fontId="47" fillId="26" borderId="21" xfId="107" applyFont="1" applyFill="1" applyBorder="1" applyAlignment="1">
      <alignment horizontal="center" vertical="center" shrinkToFit="1"/>
    </xf>
    <xf numFmtId="0" fontId="47" fillId="26" borderId="22" xfId="107" applyFont="1" applyFill="1" applyBorder="1" applyAlignment="1">
      <alignment horizontal="center" vertical="center" shrinkToFit="1"/>
    </xf>
    <xf numFmtId="0" fontId="47" fillId="26" borderId="27" xfId="107" applyFont="1" applyFill="1" applyBorder="1" applyAlignment="1">
      <alignment horizontal="center" vertical="center" shrinkToFit="1"/>
    </xf>
    <xf numFmtId="49" fontId="47" fillId="0" borderId="28" xfId="107" applyNumberFormat="1" applyFont="1" applyBorder="1" applyAlignment="1">
      <alignment horizontal="center" vertical="center" wrapText="1"/>
    </xf>
    <xf numFmtId="49" fontId="47" fillId="0" borderId="22" xfId="107" applyNumberFormat="1" applyFont="1" applyBorder="1" applyAlignment="1">
      <alignment horizontal="center" vertical="center" wrapText="1"/>
    </xf>
    <xf numFmtId="49" fontId="47" fillId="0" borderId="23" xfId="107" applyNumberFormat="1" applyFont="1" applyBorder="1" applyAlignment="1">
      <alignment horizontal="center" vertical="center" wrapText="1"/>
    </xf>
    <xf numFmtId="49" fontId="47" fillId="0" borderId="28" xfId="107" applyNumberFormat="1" applyFont="1" applyBorder="1" applyAlignment="1">
      <alignment horizontal="left" vertical="center" wrapText="1"/>
    </xf>
    <xf numFmtId="49" fontId="47" fillId="0" borderId="22" xfId="107" applyNumberFormat="1" applyFont="1" applyBorder="1" applyAlignment="1">
      <alignment horizontal="left" vertical="center" wrapText="1"/>
    </xf>
    <xf numFmtId="49" fontId="47" fillId="0" borderId="23" xfId="107" applyNumberFormat="1" applyFont="1" applyBorder="1" applyAlignment="1">
      <alignment horizontal="left" vertical="center" wrapText="1"/>
    </xf>
    <xf numFmtId="0" fontId="46" fillId="25" borderId="0" xfId="107" applyFont="1" applyFill="1" applyAlignment="1">
      <alignment horizontal="center" vertical="center"/>
    </xf>
    <xf numFmtId="0" fontId="9" fillId="25" borderId="0" xfId="107" applyFill="1" applyAlignment="1">
      <alignment horizontal="center" vertical="center"/>
    </xf>
    <xf numFmtId="0" fontId="47" fillId="26" borderId="29" xfId="107" applyFont="1" applyFill="1" applyBorder="1" applyAlignment="1">
      <alignment horizontal="center" vertical="center" shrinkToFit="1"/>
    </xf>
    <xf numFmtId="0" fontId="47" fillId="26" borderId="3" xfId="107" applyFont="1" applyFill="1" applyBorder="1" applyAlignment="1">
      <alignment horizontal="center" vertical="center" shrinkToFit="1"/>
    </xf>
    <xf numFmtId="0" fontId="47" fillId="26" borderId="19" xfId="107" applyFont="1" applyFill="1" applyBorder="1" applyAlignment="1">
      <alignment horizontal="center" vertical="center" shrinkToFit="1"/>
    </xf>
    <xf numFmtId="49" fontId="29" fillId="0" borderId="17" xfId="107" applyNumberFormat="1" applyFont="1" applyBorder="1" applyAlignment="1">
      <alignment horizontal="left" vertical="center" wrapText="1"/>
    </xf>
    <xf numFmtId="49" fontId="29" fillId="0" borderId="3" xfId="107" applyNumberFormat="1" applyFont="1" applyBorder="1" applyAlignment="1">
      <alignment horizontal="left" vertical="center" wrapText="1"/>
    </xf>
    <xf numFmtId="49" fontId="29" fillId="0" borderId="30" xfId="107" applyNumberFormat="1" applyFont="1" applyBorder="1" applyAlignment="1">
      <alignment horizontal="left" vertical="center" wrapText="1"/>
    </xf>
    <xf numFmtId="49" fontId="29" fillId="0" borderId="17" xfId="107" applyNumberFormat="1" applyFont="1" applyBorder="1" applyAlignment="1">
      <alignment horizontal="center" vertical="center" wrapText="1"/>
    </xf>
    <xf numFmtId="49" fontId="29" fillId="0" borderId="3" xfId="107" applyNumberFormat="1" applyFont="1" applyBorder="1" applyAlignment="1">
      <alignment horizontal="center" vertical="center" wrapText="1"/>
    </xf>
    <xf numFmtId="49" fontId="29" fillId="0" borderId="30" xfId="107" applyNumberFormat="1" applyFont="1" applyBorder="1" applyAlignment="1">
      <alignment horizontal="center" vertical="center" wrapText="1"/>
    </xf>
    <xf numFmtId="0" fontId="29" fillId="0" borderId="17" xfId="107" applyFont="1" applyBorder="1" applyAlignment="1">
      <alignment horizontal="left" vertical="center" wrapText="1"/>
    </xf>
    <xf numFmtId="0" fontId="29" fillId="26" borderId="29" xfId="107" applyFont="1" applyFill="1" applyBorder="1" applyAlignment="1">
      <alignment horizontal="center" vertical="center" shrinkToFit="1"/>
    </xf>
    <xf numFmtId="0" fontId="29" fillId="26" borderId="3" xfId="107" applyFont="1" applyFill="1" applyBorder="1" applyAlignment="1">
      <alignment horizontal="center" vertical="center" shrinkToFit="1"/>
    </xf>
    <xf numFmtId="0" fontId="29" fillId="26" borderId="19" xfId="107" applyFont="1" applyFill="1" applyBorder="1" applyAlignment="1">
      <alignment horizontal="center" vertical="center" shrinkToFit="1"/>
    </xf>
    <xf numFmtId="0" fontId="28" fillId="26" borderId="31" xfId="107" applyFont="1" applyFill="1" applyBorder="1" applyAlignment="1">
      <alignment horizontal="center" vertical="center" wrapText="1"/>
    </xf>
    <xf numFmtId="0" fontId="28" fillId="26" borderId="32" xfId="107" applyFont="1" applyFill="1" applyBorder="1" applyAlignment="1">
      <alignment horizontal="center" vertical="center"/>
    </xf>
    <xf numFmtId="0" fontId="28" fillId="26" borderId="33" xfId="107" applyFont="1" applyFill="1" applyBorder="1" applyAlignment="1">
      <alignment horizontal="center" vertical="center"/>
    </xf>
    <xf numFmtId="0" fontId="28" fillId="26" borderId="34" xfId="107" applyFont="1" applyFill="1" applyBorder="1" applyAlignment="1">
      <alignment horizontal="center" vertical="center"/>
    </xf>
    <xf numFmtId="0" fontId="28" fillId="26" borderId="0" xfId="107" applyFont="1" applyFill="1" applyAlignment="1">
      <alignment horizontal="center" vertical="center"/>
    </xf>
    <xf numFmtId="0" fontId="28" fillId="26" borderId="35" xfId="107" applyFont="1" applyFill="1" applyBorder="1" applyAlignment="1">
      <alignment horizontal="center" vertical="center"/>
    </xf>
    <xf numFmtId="0" fontId="28" fillId="26" borderId="36" xfId="107" applyFont="1" applyFill="1" applyBorder="1" applyAlignment="1">
      <alignment horizontal="center" vertical="center"/>
    </xf>
    <xf numFmtId="0" fontId="28" fillId="26" borderId="5" xfId="107" applyFont="1" applyFill="1" applyBorder="1" applyAlignment="1">
      <alignment horizontal="center" vertical="center"/>
    </xf>
    <xf numFmtId="0" fontId="28" fillId="26" borderId="37" xfId="107" applyFont="1" applyFill="1" applyBorder="1" applyAlignment="1">
      <alignment horizontal="center" vertical="center"/>
    </xf>
    <xf numFmtId="0" fontId="29" fillId="26" borderId="24" xfId="107" applyFont="1" applyFill="1" applyBorder="1" applyAlignment="1">
      <alignment horizontal="center" vertical="center" shrinkToFit="1"/>
    </xf>
    <xf numFmtId="0" fontId="29" fillId="26" borderId="25" xfId="107" applyFont="1" applyFill="1" applyBorder="1" applyAlignment="1">
      <alignment horizontal="center" vertical="center" shrinkToFit="1"/>
    </xf>
    <xf numFmtId="0" fontId="29" fillId="26" borderId="38" xfId="107" applyFont="1" applyFill="1" applyBorder="1" applyAlignment="1">
      <alignment horizontal="center" vertical="center" shrinkToFit="1"/>
    </xf>
    <xf numFmtId="49" fontId="29" fillId="0" borderId="39" xfId="107" applyNumberFormat="1" applyFont="1" applyBorder="1" applyAlignment="1">
      <alignment horizontal="left" vertical="center" wrapText="1"/>
    </xf>
    <xf numFmtId="49" fontId="29" fillId="0" borderId="25" xfId="107" applyNumberFormat="1" applyFont="1" applyBorder="1" applyAlignment="1">
      <alignment horizontal="left" vertical="center" wrapText="1"/>
    </xf>
    <xf numFmtId="49" fontId="29" fillId="0" borderId="26" xfId="107" applyNumberFormat="1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 wrapText="1"/>
    </xf>
    <xf numFmtId="0" fontId="7" fillId="0" borderId="41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41" xfId="0" applyFont="1" applyBorder="1" applyAlignment="1">
      <alignment horizontal="left" vertical="top" wrapText="1"/>
    </xf>
    <xf numFmtId="49" fontId="44" fillId="3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Border="1">
      <alignment vertical="center"/>
    </xf>
    <xf numFmtId="0" fontId="0" fillId="0" borderId="4" xfId="0" applyNumberFormat="1" applyBorder="1">
      <alignment vertical="center"/>
    </xf>
  </cellXfs>
  <cellStyles count="134">
    <cellStyle name="20% - アクセント 1 2" xfId="1" xr:uid="{00000000-0005-0000-0000-000000000000}"/>
    <cellStyle name="20% - アクセント 1 3" xfId="2" xr:uid="{00000000-0005-0000-0000-000001000000}"/>
    <cellStyle name="20% - アクセント 2 2" xfId="3" xr:uid="{00000000-0005-0000-0000-000002000000}"/>
    <cellStyle name="20% - アクセント 2 3" xfId="4" xr:uid="{00000000-0005-0000-0000-000003000000}"/>
    <cellStyle name="20% - アクセント 3 2" xfId="5" xr:uid="{00000000-0005-0000-0000-000004000000}"/>
    <cellStyle name="20% - アクセント 3 3" xfId="6" xr:uid="{00000000-0005-0000-0000-000005000000}"/>
    <cellStyle name="20% - アクセント 4 2" xfId="7" xr:uid="{00000000-0005-0000-0000-000006000000}"/>
    <cellStyle name="20% - アクセント 4 3" xfId="8" xr:uid="{00000000-0005-0000-0000-000007000000}"/>
    <cellStyle name="20% - アクセント 5 2" xfId="9" xr:uid="{00000000-0005-0000-0000-000008000000}"/>
    <cellStyle name="20% - アクセント 5 3" xfId="10" xr:uid="{00000000-0005-0000-0000-000009000000}"/>
    <cellStyle name="20% - アクセント 6 2" xfId="11" xr:uid="{00000000-0005-0000-0000-00000A000000}"/>
    <cellStyle name="20% - アクセント 6 3" xfId="12" xr:uid="{00000000-0005-0000-0000-00000B000000}"/>
    <cellStyle name="40% - アクセント 1 2" xfId="13" xr:uid="{00000000-0005-0000-0000-00000C000000}"/>
    <cellStyle name="40% - アクセント 1 3" xfId="14" xr:uid="{00000000-0005-0000-0000-00000D000000}"/>
    <cellStyle name="40% - アクセント 2 2" xfId="15" xr:uid="{00000000-0005-0000-0000-00000E000000}"/>
    <cellStyle name="40% - アクセント 2 3" xfId="16" xr:uid="{00000000-0005-0000-0000-00000F000000}"/>
    <cellStyle name="40% - アクセント 3 2" xfId="17" xr:uid="{00000000-0005-0000-0000-000010000000}"/>
    <cellStyle name="40% - アクセント 3 3" xfId="18" xr:uid="{00000000-0005-0000-0000-000011000000}"/>
    <cellStyle name="40% - アクセント 4 2" xfId="19" xr:uid="{00000000-0005-0000-0000-000012000000}"/>
    <cellStyle name="40% - アクセント 4 3" xfId="20" xr:uid="{00000000-0005-0000-0000-000013000000}"/>
    <cellStyle name="40% - アクセント 5 2" xfId="21" xr:uid="{00000000-0005-0000-0000-000014000000}"/>
    <cellStyle name="40% - アクセント 5 3" xfId="22" xr:uid="{00000000-0005-0000-0000-000015000000}"/>
    <cellStyle name="40% - アクセント 6 2" xfId="23" xr:uid="{00000000-0005-0000-0000-000016000000}"/>
    <cellStyle name="40% - アクセント 6 3" xfId="24" xr:uid="{00000000-0005-0000-0000-000017000000}"/>
    <cellStyle name="60% - アクセント 1 2" xfId="25" xr:uid="{00000000-0005-0000-0000-000018000000}"/>
    <cellStyle name="60% - アクセント 1 3" xfId="26" xr:uid="{00000000-0005-0000-0000-000019000000}"/>
    <cellStyle name="60% - アクセント 2 2" xfId="27" xr:uid="{00000000-0005-0000-0000-00001A000000}"/>
    <cellStyle name="60% - アクセント 2 3" xfId="28" xr:uid="{00000000-0005-0000-0000-00001B000000}"/>
    <cellStyle name="60% - アクセント 3 2" xfId="29" xr:uid="{00000000-0005-0000-0000-00001C000000}"/>
    <cellStyle name="60% - アクセント 3 3" xfId="30" xr:uid="{00000000-0005-0000-0000-00001D000000}"/>
    <cellStyle name="60% - アクセント 4 2" xfId="31" xr:uid="{00000000-0005-0000-0000-00001E000000}"/>
    <cellStyle name="60% - アクセント 4 3" xfId="32" xr:uid="{00000000-0005-0000-0000-00001F000000}"/>
    <cellStyle name="60% - アクセント 5 2" xfId="33" xr:uid="{00000000-0005-0000-0000-000020000000}"/>
    <cellStyle name="60% - アクセント 5 3" xfId="34" xr:uid="{00000000-0005-0000-0000-000021000000}"/>
    <cellStyle name="60% - アクセント 6 2" xfId="35" xr:uid="{00000000-0005-0000-0000-000022000000}"/>
    <cellStyle name="60% - アクセント 6 3" xfId="36" xr:uid="{00000000-0005-0000-0000-000023000000}"/>
    <cellStyle name="BD標準" xfId="37" xr:uid="{00000000-0005-0000-0000-000024000000}"/>
    <cellStyle name="Border" xfId="38" xr:uid="{00000000-0005-0000-0000-000025000000}"/>
    <cellStyle name="Calc Currency (0)" xfId="39" xr:uid="{00000000-0005-0000-0000-000026000000}"/>
    <cellStyle name="category" xfId="40" xr:uid="{00000000-0005-0000-0000-000027000000}"/>
    <cellStyle name="Comma [0]_CCOCPX" xfId="41" xr:uid="{00000000-0005-0000-0000-000028000000}"/>
    <cellStyle name="Comma_Capex" xfId="42" xr:uid="{00000000-0005-0000-0000-000029000000}"/>
    <cellStyle name="Currency [0]_CCOCPX" xfId="43" xr:uid="{00000000-0005-0000-0000-00002A000000}"/>
    <cellStyle name="Currency_CCOCPX" xfId="44" xr:uid="{00000000-0005-0000-0000-00002B000000}"/>
    <cellStyle name="Grey" xfId="45" xr:uid="{00000000-0005-0000-0000-00002C000000}"/>
    <cellStyle name="HEADER" xfId="46" xr:uid="{00000000-0005-0000-0000-00002D000000}"/>
    <cellStyle name="Header1" xfId="47" xr:uid="{00000000-0005-0000-0000-00002E000000}"/>
    <cellStyle name="Header2" xfId="48" xr:uid="{00000000-0005-0000-0000-00002F000000}"/>
    <cellStyle name="Input [yellow]" xfId="49" xr:uid="{00000000-0005-0000-0000-000030000000}"/>
    <cellStyle name="Model" xfId="50" xr:uid="{00000000-0005-0000-0000-000031000000}"/>
    <cellStyle name="Normal - Style1" xfId="51" xr:uid="{00000000-0005-0000-0000-000032000000}"/>
    <cellStyle name="Normal - Style1 2" xfId="52" xr:uid="{00000000-0005-0000-0000-000033000000}"/>
    <cellStyle name="Normal - Style1_001_【画面レイアウト】受発注・受注登録画面（ユーザ提示用）" xfId="53" xr:uid="{00000000-0005-0000-0000-000034000000}"/>
    <cellStyle name="Normal_#18-Internet" xfId="54" xr:uid="{00000000-0005-0000-0000-000035000000}"/>
    <cellStyle name="Percent [2]" xfId="55" xr:uid="{00000000-0005-0000-0000-000036000000}"/>
    <cellStyle name="PSChar" xfId="56" xr:uid="{00000000-0005-0000-0000-000037000000}"/>
    <cellStyle name="PSHeading" xfId="57" xr:uid="{00000000-0005-0000-0000-000038000000}"/>
    <cellStyle name="quest" xfId="58" xr:uid="{00000000-0005-0000-0000-000039000000}"/>
    <cellStyle name="subhead" xfId="59" xr:uid="{00000000-0005-0000-0000-00003A000000}"/>
    <cellStyle name="umeda" xfId="60" xr:uid="{00000000-0005-0000-0000-00003B000000}"/>
    <cellStyle name="アクセント 1 2" xfId="61" xr:uid="{00000000-0005-0000-0000-00003C000000}"/>
    <cellStyle name="アクセント 1 3" xfId="62" xr:uid="{00000000-0005-0000-0000-00003D000000}"/>
    <cellStyle name="アクセント 2 2" xfId="63" xr:uid="{00000000-0005-0000-0000-00003E000000}"/>
    <cellStyle name="アクセント 2 3" xfId="64" xr:uid="{00000000-0005-0000-0000-00003F000000}"/>
    <cellStyle name="アクセント 3 2" xfId="65" xr:uid="{00000000-0005-0000-0000-000040000000}"/>
    <cellStyle name="アクセント 3 3" xfId="66" xr:uid="{00000000-0005-0000-0000-000041000000}"/>
    <cellStyle name="アクセント 4 2" xfId="67" xr:uid="{00000000-0005-0000-0000-000042000000}"/>
    <cellStyle name="アクセント 4 3" xfId="68" xr:uid="{00000000-0005-0000-0000-000043000000}"/>
    <cellStyle name="アクセント 5 2" xfId="69" xr:uid="{00000000-0005-0000-0000-000044000000}"/>
    <cellStyle name="アクセント 5 3" xfId="70" xr:uid="{00000000-0005-0000-0000-000045000000}"/>
    <cellStyle name="アクセント 6 2" xfId="71" xr:uid="{00000000-0005-0000-0000-000046000000}"/>
    <cellStyle name="アクセント 6 3" xfId="72" xr:uid="{00000000-0005-0000-0000-000047000000}"/>
    <cellStyle name="タイトル 2" xfId="73" xr:uid="{00000000-0005-0000-0000-000048000000}"/>
    <cellStyle name="タイトル 3" xfId="74" xr:uid="{00000000-0005-0000-0000-000049000000}"/>
    <cellStyle name="チェック セル 2" xfId="75" xr:uid="{00000000-0005-0000-0000-00004A000000}"/>
    <cellStyle name="チェック セル 3" xfId="76" xr:uid="{00000000-0005-0000-0000-00004B000000}"/>
    <cellStyle name="どちらでもない 2" xfId="77" xr:uid="{00000000-0005-0000-0000-00004C000000}"/>
    <cellStyle name="どちらでもない 3" xfId="78" xr:uid="{00000000-0005-0000-0000-00004D000000}"/>
    <cellStyle name="パーセント 2" xfId="129" xr:uid="{8280C438-1AB7-478F-9305-5196EBE7F61D}"/>
    <cellStyle name="メモ 2" xfId="79" xr:uid="{00000000-0005-0000-0000-00004E000000}"/>
    <cellStyle name="メモ 3" xfId="80" xr:uid="{00000000-0005-0000-0000-00004F000000}"/>
    <cellStyle name="リンク セル 2" xfId="81" xr:uid="{00000000-0005-0000-0000-000050000000}"/>
    <cellStyle name="リンク セル 3" xfId="82" xr:uid="{00000000-0005-0000-0000-000051000000}"/>
    <cellStyle name="悪い 2" xfId="83" xr:uid="{00000000-0005-0000-0000-000052000000}"/>
    <cellStyle name="悪い 3" xfId="84" xr:uid="{00000000-0005-0000-0000-000053000000}"/>
    <cellStyle name="計算 2" xfId="85" xr:uid="{00000000-0005-0000-0000-000054000000}"/>
    <cellStyle name="計算 3" xfId="86" xr:uid="{00000000-0005-0000-0000-000055000000}"/>
    <cellStyle name="警告文 2" xfId="87" xr:uid="{00000000-0005-0000-0000-000056000000}"/>
    <cellStyle name="警告文 3" xfId="88" xr:uid="{00000000-0005-0000-0000-000057000000}"/>
    <cellStyle name="見出し 1 2" xfId="89" xr:uid="{00000000-0005-0000-0000-000058000000}"/>
    <cellStyle name="見出し 1 3" xfId="90" xr:uid="{00000000-0005-0000-0000-000059000000}"/>
    <cellStyle name="見出し 2 2" xfId="91" xr:uid="{00000000-0005-0000-0000-00005A000000}"/>
    <cellStyle name="見出し 2 3" xfId="92" xr:uid="{00000000-0005-0000-0000-00005B000000}"/>
    <cellStyle name="見出し 3 2" xfId="93" xr:uid="{00000000-0005-0000-0000-00005C000000}"/>
    <cellStyle name="見出し 3 3" xfId="94" xr:uid="{00000000-0005-0000-0000-00005D000000}"/>
    <cellStyle name="見出し 4 2" xfId="95" xr:uid="{00000000-0005-0000-0000-00005E000000}"/>
    <cellStyle name="見出し 4 3" xfId="96" xr:uid="{00000000-0005-0000-0000-00005F000000}"/>
    <cellStyle name="集計 2" xfId="97" xr:uid="{00000000-0005-0000-0000-000060000000}"/>
    <cellStyle name="集計 3" xfId="98" xr:uid="{00000000-0005-0000-0000-000061000000}"/>
    <cellStyle name="出力 2" xfId="99" xr:uid="{00000000-0005-0000-0000-000062000000}"/>
    <cellStyle name="出力 3" xfId="100" xr:uid="{00000000-0005-0000-0000-000063000000}"/>
    <cellStyle name="説明文 2" xfId="101" xr:uid="{00000000-0005-0000-0000-000064000000}"/>
    <cellStyle name="説明文 3" xfId="102" xr:uid="{00000000-0005-0000-0000-000065000000}"/>
    <cellStyle name="追加スタイル（梅田）" xfId="103" xr:uid="{00000000-0005-0000-0000-000066000000}"/>
    <cellStyle name="入力 2" xfId="104" xr:uid="{00000000-0005-0000-0000-000067000000}"/>
    <cellStyle name="入力 3" xfId="105" xr:uid="{00000000-0005-0000-0000-000068000000}"/>
    <cellStyle name="標準" xfId="0" builtinId="0"/>
    <cellStyle name="標準 2" xfId="106" xr:uid="{00000000-0005-0000-0000-00006A000000}"/>
    <cellStyle name="標準 2 2" xfId="131" xr:uid="{BF24CB21-D2DF-4CF9-97D8-A0E2CE44F022}"/>
    <cellStyle name="標準 3" xfId="107" xr:uid="{00000000-0005-0000-0000-00006B000000}"/>
    <cellStyle name="標準 3 2" xfId="126" xr:uid="{D5DDE0B4-2D27-4635-875F-069E5CAF4BA7}"/>
    <cellStyle name="標準 4" xfId="128" xr:uid="{16B04D87-7E03-4F81-B0D8-CF50D5BB2C61}"/>
    <cellStyle name="標準 4 2" xfId="125" xr:uid="{2CAC4627-D577-4372-B290-CC30CC59EF4E}"/>
    <cellStyle name="標準 4 2 2" xfId="127" xr:uid="{2545D5C4-F00D-4918-9AEF-391F2E6CFA05}"/>
    <cellStyle name="標準 5" xfId="130" xr:uid="{559461CE-5B30-4072-8656-B89B009C7FF3}"/>
    <cellStyle name="標準 6" xfId="132" xr:uid="{418C35C6-69F8-409A-A85E-6E64AC0FF749}"/>
    <cellStyle name="標準 7" xfId="133" xr:uid="{D90CE241-AE6B-40DA-B097-9B1ABFB01ABE}"/>
    <cellStyle name="標準_05_単体テスト仕様書フォーマット" xfId="108" xr:uid="{00000000-0005-0000-0000-00006D000000}"/>
    <cellStyle name="標準_単体テスト仕様書Sample(PContBL)" xfId="109" xr:uid="{00000000-0005-0000-0000-00006E000000}"/>
    <cellStyle name="標準_値リスト" xfId="110" xr:uid="{00000000-0005-0000-0000-00006F000000}"/>
    <cellStyle name="標準仕様書" xfId="111" xr:uid="{00000000-0005-0000-0000-000070000000}"/>
    <cellStyle name="未定義" xfId="112" xr:uid="{00000000-0005-0000-0000-000071000000}"/>
    <cellStyle name="良い 2" xfId="113" xr:uid="{00000000-0005-0000-0000-000072000000}"/>
    <cellStyle name="良い 3" xfId="114" xr:uid="{00000000-0005-0000-0000-000073000000}"/>
    <cellStyle name="㼿" xfId="115" xr:uid="{00000000-0005-0000-0000-000074000000}"/>
    <cellStyle name="㼿?" xfId="116" xr:uid="{00000000-0005-0000-0000-000075000000}"/>
    <cellStyle name="㼿㼿" xfId="117" xr:uid="{00000000-0005-0000-0000-000076000000}"/>
    <cellStyle name="㼿㼿?" xfId="118" xr:uid="{00000000-0005-0000-0000-000077000000}"/>
    <cellStyle name="㼿㼿㼿" xfId="119" xr:uid="{00000000-0005-0000-0000-000078000000}"/>
    <cellStyle name="㼿㼿㼿?" xfId="120" xr:uid="{00000000-0005-0000-0000-000079000000}"/>
    <cellStyle name="㼿㼿㼿㼿" xfId="121" xr:uid="{00000000-0005-0000-0000-00007A000000}"/>
    <cellStyle name="㼿㼿㼿㼿?" xfId="122" xr:uid="{00000000-0005-0000-0000-00007B000000}"/>
    <cellStyle name="㼿㼿㼿㼿㼿㼿?" xfId="123" xr:uid="{00000000-0005-0000-0000-00007C000000}"/>
    <cellStyle name="㼿㼿㼿㼿㼿㼿㼿?" xfId="124" xr:uid="{00000000-0005-0000-0000-00007D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 kern="1200">
            <a:solidFill>
              <a:schemeClr val="tx1"/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27"/>
  <sheetViews>
    <sheetView zoomScaleNormal="100" workbookViewId="0"/>
  </sheetViews>
  <sheetFormatPr defaultColWidth="3" defaultRowHeight="13.5"/>
  <cols>
    <col min="1" max="55" width="3" style="8"/>
    <col min="56" max="56" width="4.625" style="8" bestFit="1" customWidth="1"/>
    <col min="57" max="58" width="3" style="8"/>
    <col min="59" max="59" width="4.625" style="8" bestFit="1" customWidth="1"/>
    <col min="60" max="16384" width="3" style="8"/>
  </cols>
  <sheetData>
    <row r="1" spans="1:49">
      <c r="AQ1" s="32" t="s">
        <v>0</v>
      </c>
    </row>
    <row r="2" spans="1:49">
      <c r="AQ2" s="32"/>
    </row>
    <row r="3" spans="1:49" ht="14.25" thickBot="1"/>
    <row r="4" spans="1:49">
      <c r="A4" s="167" t="s">
        <v>60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9"/>
    </row>
    <row r="5" spans="1:49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2"/>
    </row>
    <row r="6" spans="1:49">
      <c r="A6" s="170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2"/>
    </row>
    <row r="7" spans="1:49">
      <c r="A7" s="170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2"/>
    </row>
    <row r="8" spans="1:49">
      <c r="A8" s="170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2"/>
    </row>
    <row r="9" spans="1:49">
      <c r="A9" s="170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2"/>
    </row>
    <row r="10" spans="1:49">
      <c r="A10" s="170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2"/>
    </row>
    <row r="11" spans="1:49" ht="14.25" thickBot="1">
      <c r="A11" s="173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5"/>
    </row>
    <row r="13" spans="1:49" ht="14.25" thickBot="1"/>
    <row r="14" spans="1:49" ht="26.25" customHeight="1">
      <c r="A14" s="176" t="s">
        <v>1</v>
      </c>
      <c r="B14" s="177"/>
      <c r="C14" s="177"/>
      <c r="D14" s="177"/>
      <c r="E14" s="177"/>
      <c r="F14" s="177"/>
      <c r="G14" s="178"/>
      <c r="H14" s="179" t="s">
        <v>58</v>
      </c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1"/>
      <c r="X14" s="176" t="s">
        <v>2</v>
      </c>
      <c r="Y14" s="177"/>
      <c r="Z14" s="177"/>
      <c r="AA14" s="177"/>
      <c r="AB14" s="177"/>
      <c r="AC14" s="178"/>
      <c r="AD14" s="179" t="s">
        <v>54</v>
      </c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1"/>
    </row>
    <row r="15" spans="1:49" ht="26.25" customHeight="1">
      <c r="A15" s="164" t="s">
        <v>3</v>
      </c>
      <c r="B15" s="165"/>
      <c r="C15" s="165"/>
      <c r="D15" s="165"/>
      <c r="E15" s="165"/>
      <c r="F15" s="165"/>
      <c r="G15" s="166"/>
      <c r="H15" s="157" t="s">
        <v>58</v>
      </c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9"/>
      <c r="X15" s="164" t="s">
        <v>4</v>
      </c>
      <c r="Y15" s="165"/>
      <c r="Z15" s="165"/>
      <c r="AA15" s="165"/>
      <c r="AB15" s="165"/>
      <c r="AC15" s="166"/>
      <c r="AD15" s="157" t="s">
        <v>55</v>
      </c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9"/>
    </row>
    <row r="16" spans="1:49" ht="26.25" customHeight="1">
      <c r="A16" s="154" t="s">
        <v>5</v>
      </c>
      <c r="B16" s="155"/>
      <c r="C16" s="155"/>
      <c r="D16" s="155"/>
      <c r="E16" s="155"/>
      <c r="F16" s="155"/>
      <c r="G16" s="156"/>
      <c r="H16" s="157" t="s">
        <v>58</v>
      </c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9"/>
      <c r="X16" s="154" t="s">
        <v>6</v>
      </c>
      <c r="Y16" s="155"/>
      <c r="Z16" s="155"/>
      <c r="AA16" s="155"/>
      <c r="AB16" s="155"/>
      <c r="AC16" s="156"/>
      <c r="AD16" s="157" t="s">
        <v>59</v>
      </c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9"/>
    </row>
    <row r="17" spans="1:49" ht="26.25" customHeight="1">
      <c r="A17" s="154" t="s">
        <v>7</v>
      </c>
      <c r="B17" s="155"/>
      <c r="C17" s="155"/>
      <c r="D17" s="155"/>
      <c r="E17" s="155"/>
      <c r="F17" s="155"/>
      <c r="G17" s="156"/>
      <c r="H17" s="157" t="s">
        <v>735</v>
      </c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4" t="s">
        <v>8</v>
      </c>
      <c r="Y17" s="155"/>
      <c r="Z17" s="155"/>
      <c r="AA17" s="155"/>
      <c r="AB17" s="155"/>
      <c r="AC17" s="156"/>
      <c r="AD17" s="157" t="s">
        <v>736</v>
      </c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9"/>
    </row>
    <row r="18" spans="1:49" ht="26.25" customHeight="1">
      <c r="A18" s="154" t="s">
        <v>9</v>
      </c>
      <c r="B18" s="155"/>
      <c r="C18" s="155"/>
      <c r="D18" s="155"/>
      <c r="E18" s="155"/>
      <c r="F18" s="155"/>
      <c r="G18" s="156"/>
      <c r="H18" s="157" t="s">
        <v>58</v>
      </c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9"/>
      <c r="X18" s="154" t="s">
        <v>10</v>
      </c>
      <c r="Y18" s="155"/>
      <c r="Z18" s="155"/>
      <c r="AA18" s="155"/>
      <c r="AB18" s="155"/>
      <c r="AC18" s="156"/>
      <c r="AD18" s="157" t="s">
        <v>59</v>
      </c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9"/>
    </row>
    <row r="19" spans="1:49" ht="26.25" customHeight="1">
      <c r="A19" s="154" t="s">
        <v>11</v>
      </c>
      <c r="B19" s="155"/>
      <c r="C19" s="155"/>
      <c r="D19" s="155"/>
      <c r="E19" s="155"/>
      <c r="F19" s="155"/>
      <c r="G19" s="156"/>
      <c r="H19" s="160" t="s">
        <v>57</v>
      </c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2"/>
      <c r="X19" s="154" t="s">
        <v>12</v>
      </c>
      <c r="Y19" s="155"/>
      <c r="Z19" s="155"/>
      <c r="AA19" s="155"/>
      <c r="AB19" s="155"/>
      <c r="AC19" s="156"/>
      <c r="AD19" s="163" t="s">
        <v>56</v>
      </c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9"/>
    </row>
    <row r="20" spans="1:49" ht="26.25" customHeight="1" thickBot="1">
      <c r="A20" s="143" t="s">
        <v>13</v>
      </c>
      <c r="B20" s="144"/>
      <c r="C20" s="144"/>
      <c r="D20" s="144"/>
      <c r="E20" s="144"/>
      <c r="F20" s="144"/>
      <c r="G20" s="145"/>
      <c r="H20" s="146" t="s">
        <v>57</v>
      </c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8"/>
      <c r="X20" s="143" t="s">
        <v>14</v>
      </c>
      <c r="Y20" s="144"/>
      <c r="Z20" s="144"/>
      <c r="AA20" s="144"/>
      <c r="AB20" s="144"/>
      <c r="AC20" s="145"/>
      <c r="AD20" s="149" t="s">
        <v>56</v>
      </c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1"/>
    </row>
    <row r="21" spans="1:49" ht="26.25" customHeight="1">
      <c r="A21" s="152"/>
      <c r="B21" s="152"/>
      <c r="C21" s="152"/>
      <c r="D21" s="152"/>
      <c r="E21" s="152"/>
      <c r="F21" s="152"/>
      <c r="G21" s="15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52"/>
      <c r="Y21" s="152"/>
      <c r="Z21" s="152"/>
      <c r="AA21" s="152"/>
      <c r="AB21" s="152"/>
      <c r="AC21" s="152"/>
      <c r="AD21" s="9"/>
      <c r="AE21" s="9"/>
      <c r="AF21" s="9"/>
      <c r="AG21" s="9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ht="26.25" customHeight="1">
      <c r="A22" s="33"/>
      <c r="B22" s="33"/>
      <c r="C22" s="33"/>
      <c r="D22" s="33"/>
      <c r="E22" s="33"/>
      <c r="F22" s="33"/>
      <c r="G22" s="3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33"/>
      <c r="Y22" s="33"/>
      <c r="Z22" s="33"/>
      <c r="AA22" s="33"/>
      <c r="AB22" s="33"/>
      <c r="AC22" s="33"/>
      <c r="AD22" s="9"/>
      <c r="AE22" s="9"/>
      <c r="AF22" s="9"/>
      <c r="AG22" s="9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ht="26.25" customHeight="1">
      <c r="A23" s="33"/>
      <c r="B23" s="33"/>
      <c r="C23" s="33"/>
      <c r="D23" s="33"/>
      <c r="E23" s="33"/>
      <c r="F23" s="33"/>
      <c r="G23" s="3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33"/>
      <c r="Y23" s="33"/>
      <c r="Z23" s="33"/>
      <c r="AA23" s="33"/>
      <c r="AB23" s="33"/>
      <c r="AC23" s="33"/>
      <c r="AD23" s="9"/>
      <c r="AE23" s="9"/>
      <c r="AF23" s="9"/>
      <c r="AG23" s="9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5" spans="1:49" ht="15" thickBot="1">
      <c r="L25" s="11" t="s">
        <v>15</v>
      </c>
    </row>
    <row r="26" spans="1:49" ht="27" customHeight="1">
      <c r="E26" s="153"/>
      <c r="F26" s="153"/>
      <c r="G26" s="153"/>
      <c r="H26" s="153"/>
      <c r="I26" s="153"/>
      <c r="J26" s="153"/>
      <c r="K26" s="153"/>
      <c r="L26" s="140"/>
      <c r="M26" s="141"/>
      <c r="N26" s="141"/>
      <c r="O26" s="141"/>
      <c r="P26" s="142"/>
      <c r="Q26" s="141"/>
      <c r="R26" s="141"/>
      <c r="S26" s="141"/>
      <c r="T26" s="141"/>
      <c r="U26" s="142"/>
      <c r="V26" s="140"/>
      <c r="W26" s="141"/>
      <c r="X26" s="141"/>
      <c r="Y26" s="141"/>
      <c r="Z26" s="142"/>
      <c r="AA26" s="140"/>
      <c r="AB26" s="141"/>
      <c r="AC26" s="141"/>
      <c r="AD26" s="141"/>
      <c r="AE26" s="142"/>
      <c r="AF26" s="140"/>
      <c r="AG26" s="141"/>
      <c r="AH26" s="141"/>
      <c r="AI26" s="141"/>
      <c r="AJ26" s="142"/>
    </row>
    <row r="27" spans="1:49" ht="78" customHeight="1" thickBot="1">
      <c r="E27" s="12"/>
      <c r="F27" s="12"/>
      <c r="G27" s="12"/>
      <c r="H27" s="13"/>
      <c r="I27" s="12"/>
      <c r="J27" s="12"/>
      <c r="K27" s="12"/>
      <c r="L27" s="137" t="s">
        <v>16</v>
      </c>
      <c r="M27" s="138"/>
      <c r="N27" s="138"/>
      <c r="O27" s="138"/>
      <c r="P27" s="139"/>
      <c r="Q27" s="137" t="s">
        <v>16</v>
      </c>
      <c r="R27" s="138"/>
      <c r="S27" s="138"/>
      <c r="T27" s="138"/>
      <c r="U27" s="139"/>
      <c r="V27" s="137" t="s">
        <v>16</v>
      </c>
      <c r="W27" s="138"/>
      <c r="X27" s="138"/>
      <c r="Y27" s="138"/>
      <c r="Z27" s="139"/>
      <c r="AA27" s="137" t="s">
        <v>16</v>
      </c>
      <c r="AB27" s="138"/>
      <c r="AC27" s="138"/>
      <c r="AD27" s="138"/>
      <c r="AE27" s="139"/>
      <c r="AF27" s="137" t="s">
        <v>16</v>
      </c>
      <c r="AG27" s="138"/>
      <c r="AH27" s="138"/>
      <c r="AI27" s="138"/>
      <c r="AJ27" s="139"/>
    </row>
  </sheetData>
  <mergeCells count="42">
    <mergeCell ref="A15:G15"/>
    <mergeCell ref="H15:W15"/>
    <mergeCell ref="X15:AC15"/>
    <mergeCell ref="AD15:AW15"/>
    <mergeCell ref="A4:AW11"/>
    <mergeCell ref="A14:G14"/>
    <mergeCell ref="H14:W14"/>
    <mergeCell ref="X14:AC14"/>
    <mergeCell ref="AD14:AW14"/>
    <mergeCell ref="A16:G16"/>
    <mergeCell ref="H16:W16"/>
    <mergeCell ref="X16:AC16"/>
    <mergeCell ref="AD16:AW16"/>
    <mergeCell ref="A17:G17"/>
    <mergeCell ref="H17:W17"/>
    <mergeCell ref="X17:AC17"/>
    <mergeCell ref="AD17:AW17"/>
    <mergeCell ref="A18:G18"/>
    <mergeCell ref="H18:W18"/>
    <mergeCell ref="X18:AC18"/>
    <mergeCell ref="AD18:AW18"/>
    <mergeCell ref="A19:G19"/>
    <mergeCell ref="H19:W19"/>
    <mergeCell ref="X19:AC19"/>
    <mergeCell ref="AD19:AW19"/>
    <mergeCell ref="AF26:AJ26"/>
    <mergeCell ref="A20:G20"/>
    <mergeCell ref="H20:W20"/>
    <mergeCell ref="X20:AC20"/>
    <mergeCell ref="AD20:AW20"/>
    <mergeCell ref="A21:G21"/>
    <mergeCell ref="X21:AC21"/>
    <mergeCell ref="E26:K26"/>
    <mergeCell ref="L26:P26"/>
    <mergeCell ref="Q26:U26"/>
    <mergeCell ref="V26:Z26"/>
    <mergeCell ref="AA26:AE26"/>
    <mergeCell ref="L27:P27"/>
    <mergeCell ref="Q27:U27"/>
    <mergeCell ref="V27:Z27"/>
    <mergeCell ref="AA27:AE27"/>
    <mergeCell ref="AF27:AJ27"/>
  </mergeCells>
  <phoneticPr fontId="6"/>
  <printOptions horizontalCentered="1" verticalCentered="1"/>
  <pageMargins left="0.27559055118110237" right="0.27559055118110237" top="0.59055118110236227" bottom="0.39370078740157483" header="0.39370078740157483" footer="0.19685039370078741"/>
  <pageSetup paperSize="9" scale="92" fitToHeight="0" orientation="landscape" r:id="rId1"/>
  <headerFooter alignWithMargins="0"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X21"/>
  <sheetViews>
    <sheetView zoomScaleNormal="100" workbookViewId="0"/>
  </sheetViews>
  <sheetFormatPr defaultColWidth="5" defaultRowHeight="15" customHeight="1"/>
  <cols>
    <col min="1" max="1" width="5" style="15" customWidth="1"/>
    <col min="2" max="2" width="10.25" style="31" customWidth="1"/>
    <col min="3" max="3" width="33.75" style="15" customWidth="1"/>
    <col min="4" max="4" width="58.25" style="15" customWidth="1"/>
    <col min="5" max="5" width="21.25" style="15" customWidth="1"/>
    <col min="6" max="8" width="11.75" style="15" customWidth="1"/>
    <col min="9" max="16384" width="5" style="15"/>
  </cols>
  <sheetData>
    <row r="1" spans="1:154" ht="30" customHeight="1">
      <c r="A1" s="27" t="s">
        <v>17</v>
      </c>
      <c r="B1" s="27" t="s">
        <v>18</v>
      </c>
      <c r="C1" s="27" t="s">
        <v>19</v>
      </c>
      <c r="D1" s="27" t="s">
        <v>20</v>
      </c>
      <c r="E1" s="24" t="s">
        <v>21</v>
      </c>
      <c r="F1" s="24" t="s">
        <v>22</v>
      </c>
      <c r="G1" s="24" t="s">
        <v>23</v>
      </c>
      <c r="H1" s="24" t="s">
        <v>24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</row>
    <row r="2" spans="1:154" ht="15" customHeight="1">
      <c r="A2" s="182">
        <f>ROW()-1</f>
        <v>1</v>
      </c>
      <c r="B2" s="184"/>
      <c r="C2" s="186"/>
      <c r="D2" s="186"/>
      <c r="E2" s="184"/>
      <c r="F2" s="34"/>
      <c r="G2" s="34"/>
      <c r="H2" s="3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</row>
    <row r="3" spans="1:154" ht="15" customHeight="1">
      <c r="A3" s="183"/>
      <c r="B3" s="185"/>
      <c r="C3" s="187"/>
      <c r="D3" s="187"/>
      <c r="E3" s="185"/>
      <c r="F3" s="35"/>
      <c r="G3" s="35"/>
      <c r="H3" s="35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" customHeight="1">
      <c r="A4" s="182">
        <v>2</v>
      </c>
      <c r="B4" s="184"/>
      <c r="C4" s="186"/>
      <c r="D4" s="186"/>
      <c r="E4" s="184"/>
      <c r="F4" s="34"/>
      <c r="G4" s="34"/>
      <c r="H4" s="3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spans="1:154" ht="15" customHeight="1">
      <c r="A5" s="183"/>
      <c r="B5" s="185"/>
      <c r="C5" s="187"/>
      <c r="D5" s="187"/>
      <c r="E5" s="185"/>
      <c r="F5" s="35"/>
      <c r="G5" s="35"/>
      <c r="H5" s="35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" customHeight="1">
      <c r="A6" s="182">
        <v>3</v>
      </c>
      <c r="B6" s="184"/>
      <c r="C6" s="186"/>
      <c r="D6" s="186"/>
      <c r="E6" s="184"/>
      <c r="F6" s="34"/>
      <c r="G6" s="34"/>
      <c r="H6" s="3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</row>
    <row r="7" spans="1:154" ht="15" customHeight="1">
      <c r="A7" s="183"/>
      <c r="B7" s="185"/>
      <c r="C7" s="187"/>
      <c r="D7" s="187"/>
      <c r="E7" s="185"/>
      <c r="F7" s="35"/>
      <c r="G7" s="35"/>
      <c r="H7" s="35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</row>
    <row r="8" spans="1:154" ht="15" customHeight="1">
      <c r="A8" s="182">
        <v>4</v>
      </c>
      <c r="B8" s="184"/>
      <c r="C8" s="186"/>
      <c r="D8" s="186"/>
      <c r="E8" s="184"/>
      <c r="F8" s="34"/>
      <c r="G8" s="34"/>
      <c r="H8" s="3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</row>
    <row r="9" spans="1:154" ht="15" customHeight="1">
      <c r="A9" s="183"/>
      <c r="B9" s="185"/>
      <c r="C9" s="187"/>
      <c r="D9" s="187"/>
      <c r="E9" s="185"/>
      <c r="F9" s="35"/>
      <c r="G9" s="35"/>
      <c r="H9" s="35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</row>
    <row r="10" spans="1:154" ht="15" customHeight="1">
      <c r="A10" s="182">
        <v>5</v>
      </c>
      <c r="B10" s="184"/>
      <c r="C10" s="186"/>
      <c r="D10" s="186"/>
      <c r="E10" s="184"/>
      <c r="F10" s="34"/>
      <c r="G10" s="34"/>
      <c r="H10" s="3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</row>
    <row r="11" spans="1:154" ht="15" customHeight="1">
      <c r="A11" s="183"/>
      <c r="B11" s="185"/>
      <c r="C11" s="187"/>
      <c r="D11" s="187"/>
      <c r="E11" s="185"/>
      <c r="F11" s="35"/>
      <c r="G11" s="35"/>
      <c r="H11" s="35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</row>
    <row r="12" spans="1:154" ht="15" customHeight="1">
      <c r="A12" s="182">
        <v>6</v>
      </c>
      <c r="B12" s="184"/>
      <c r="C12" s="186"/>
      <c r="D12" s="186"/>
      <c r="E12" s="184"/>
      <c r="F12" s="34"/>
      <c r="G12" s="34"/>
      <c r="H12" s="3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</row>
    <row r="13" spans="1:154" ht="15" customHeight="1">
      <c r="A13" s="183"/>
      <c r="B13" s="185"/>
      <c r="C13" s="187"/>
      <c r="D13" s="187"/>
      <c r="E13" s="185"/>
      <c r="F13" s="35"/>
      <c r="G13" s="35"/>
      <c r="H13" s="35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</row>
    <row r="14" spans="1:154" ht="15" customHeight="1">
      <c r="A14" s="182">
        <v>7</v>
      </c>
      <c r="B14" s="184"/>
      <c r="C14" s="186"/>
      <c r="D14" s="186"/>
      <c r="E14" s="184"/>
      <c r="F14" s="34"/>
      <c r="G14" s="34"/>
      <c r="H14" s="3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</row>
    <row r="15" spans="1:154" ht="15" customHeight="1">
      <c r="A15" s="183"/>
      <c r="B15" s="185"/>
      <c r="C15" s="187"/>
      <c r="D15" s="187"/>
      <c r="E15" s="185"/>
      <c r="F15" s="35"/>
      <c r="G15" s="35"/>
      <c r="H15" s="35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</row>
    <row r="16" spans="1:154" ht="15" customHeight="1">
      <c r="A16" s="182">
        <v>8</v>
      </c>
      <c r="B16" s="184"/>
      <c r="C16" s="186"/>
      <c r="D16" s="186"/>
      <c r="E16" s="184"/>
      <c r="F16" s="34"/>
      <c r="G16" s="34"/>
      <c r="H16" s="3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</row>
    <row r="17" spans="1:154" ht="15" customHeight="1">
      <c r="A17" s="183"/>
      <c r="B17" s="185"/>
      <c r="C17" s="187"/>
      <c r="D17" s="187"/>
      <c r="E17" s="185"/>
      <c r="F17" s="35"/>
      <c r="G17" s="35"/>
      <c r="H17" s="35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</row>
    <row r="18" spans="1:154" ht="15" customHeight="1">
      <c r="A18" s="182">
        <v>9</v>
      </c>
      <c r="B18" s="184"/>
      <c r="C18" s="186"/>
      <c r="D18" s="186"/>
      <c r="E18" s="184"/>
      <c r="F18" s="34"/>
      <c r="G18" s="34"/>
      <c r="H18" s="3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</row>
    <row r="19" spans="1:154" ht="15" customHeight="1">
      <c r="A19" s="183"/>
      <c r="B19" s="185"/>
      <c r="C19" s="187"/>
      <c r="D19" s="187"/>
      <c r="E19" s="185"/>
      <c r="F19" s="35"/>
      <c r="G19" s="35"/>
      <c r="H19" s="35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</row>
    <row r="20" spans="1:154" ht="15" customHeight="1">
      <c r="A20" s="182">
        <v>10</v>
      </c>
      <c r="B20" s="184"/>
      <c r="C20" s="186"/>
      <c r="D20" s="186"/>
      <c r="E20" s="184"/>
      <c r="F20" s="34"/>
      <c r="G20" s="34"/>
      <c r="H20" s="3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</row>
    <row r="21" spans="1:154" ht="15" customHeight="1">
      <c r="A21" s="183"/>
      <c r="B21" s="185"/>
      <c r="C21" s="187"/>
      <c r="D21" s="187"/>
      <c r="E21" s="185"/>
      <c r="F21" s="35"/>
      <c r="G21" s="35"/>
      <c r="H21" s="35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</row>
  </sheetData>
  <mergeCells count="50">
    <mergeCell ref="A2:A3"/>
    <mergeCell ref="B2:B3"/>
    <mergeCell ref="C2:C3"/>
    <mergeCell ref="D2:D3"/>
    <mergeCell ref="E2:E3"/>
    <mergeCell ref="A8:A9"/>
    <mergeCell ref="B8:B9"/>
    <mergeCell ref="C8:C9"/>
    <mergeCell ref="D8:D9"/>
    <mergeCell ref="E8:E9"/>
    <mergeCell ref="A6:A7"/>
    <mergeCell ref="B6:B7"/>
    <mergeCell ref="C6:C7"/>
    <mergeCell ref="D6:D7"/>
    <mergeCell ref="E6:E7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A20:A21"/>
    <mergeCell ref="B20:B21"/>
    <mergeCell ref="C20:C21"/>
    <mergeCell ref="D20:D21"/>
    <mergeCell ref="E20:E21"/>
    <mergeCell ref="A18:A19"/>
    <mergeCell ref="B18:B19"/>
    <mergeCell ref="C18:C19"/>
    <mergeCell ref="D18:D19"/>
    <mergeCell ref="E18:E19"/>
    <mergeCell ref="A4:A5"/>
    <mergeCell ref="B4:B5"/>
    <mergeCell ref="C4:C5"/>
    <mergeCell ref="D4:D5"/>
    <mergeCell ref="E4:E5"/>
  </mergeCells>
  <phoneticPr fontId="6"/>
  <printOptions horizontalCentered="1"/>
  <pageMargins left="0.27559055118110237" right="0.27559055118110237" top="0.59055118110236227" bottom="0.39370078740157483" header="0.39370078740157483" footer="0.19685039370078741"/>
  <pageSetup paperSize="9" scale="87" fitToHeight="0" orientation="landscape" r:id="rId1"/>
  <headerFooter alignWithMargins="0">
    <oddHeader>&amp;L&amp;"ＭＳ ゴシック,太字"&amp;14&amp;A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8343-8783-4E93-A198-4CC41DE80A27}">
  <sheetPr codeName="Sheet3">
    <pageSetUpPr fitToPage="1"/>
  </sheetPr>
  <dimension ref="A1:J4"/>
  <sheetViews>
    <sheetView zoomScaleNormal="100" workbookViewId="0">
      <selection activeCell="E3" sqref="E3"/>
    </sheetView>
  </sheetViews>
  <sheetFormatPr defaultColWidth="2.5" defaultRowHeight="15" customHeight="1"/>
  <cols>
    <col min="1" max="1" width="1.625" style="1" customWidth="1"/>
    <col min="2" max="2" width="4.625" style="7" customWidth="1"/>
    <col min="3" max="4" width="25.625" style="6" customWidth="1"/>
    <col min="5" max="5" width="50.625" style="5" customWidth="1"/>
    <col min="6" max="6" width="60.625" style="5" customWidth="1"/>
    <col min="7" max="8" width="20.625" style="3" customWidth="1"/>
    <col min="9" max="9" width="15.25" style="1" customWidth="1"/>
    <col min="10" max="10" width="19.375" style="1" bestFit="1" customWidth="1"/>
    <col min="11" max="16384" width="2.5" style="1"/>
  </cols>
  <sheetData>
    <row r="1" spans="1:10" ht="17.100000000000001" customHeight="1">
      <c r="A1" s="2"/>
      <c r="B1" s="36" t="s">
        <v>17</v>
      </c>
      <c r="C1" s="36" t="s">
        <v>25</v>
      </c>
      <c r="D1" s="36" t="s">
        <v>39</v>
      </c>
      <c r="E1" s="36" t="s">
        <v>49</v>
      </c>
      <c r="F1" s="36" t="s">
        <v>26</v>
      </c>
      <c r="G1" s="26" t="s">
        <v>27</v>
      </c>
      <c r="H1" s="26" t="s">
        <v>28</v>
      </c>
      <c r="I1" s="1" t="s">
        <v>50</v>
      </c>
      <c r="J1" s="3" t="s">
        <v>51</v>
      </c>
    </row>
    <row r="2" spans="1:10" ht="88.15" customHeight="1">
      <c r="A2" s="2"/>
      <c r="B2" s="16">
        <v>1</v>
      </c>
      <c r="C2" s="4" t="s">
        <v>737</v>
      </c>
      <c r="D2" s="4" t="s">
        <v>47</v>
      </c>
      <c r="E2" s="4" t="s">
        <v>48</v>
      </c>
      <c r="F2" s="4" t="s">
        <v>40</v>
      </c>
      <c r="G2" s="4"/>
      <c r="H2" s="4"/>
      <c r="I2" s="1" cm="1">
        <f t="array" aca="1" ref="I2" ca="1">INDIRECT("'テスト仕様(No." &amp; B2 &amp; ")'!$E$1")</f>
        <v>5</v>
      </c>
      <c r="J2" s="1">
        <f ca="1">SUM(I2:I3)</f>
        <v>10</v>
      </c>
    </row>
    <row r="3" spans="1:10" ht="88.15" customHeight="1">
      <c r="A3" s="2"/>
      <c r="B3" s="16">
        <v>2</v>
      </c>
      <c r="C3" s="4" t="s">
        <v>738</v>
      </c>
      <c r="D3" s="4" t="s">
        <v>47</v>
      </c>
      <c r="E3" s="4" t="s">
        <v>48</v>
      </c>
      <c r="F3" s="4" t="s">
        <v>40</v>
      </c>
      <c r="G3" s="4"/>
      <c r="H3" s="4"/>
      <c r="I3" s="1" cm="1">
        <f t="array" aca="1" ref="I3" ca="1">INDIRECT("'テスト仕様(No." &amp; B3 &amp; ")'!$E$1")</f>
        <v>5</v>
      </c>
    </row>
    <row r="4" spans="1:10" ht="88.15" customHeight="1">
      <c r="A4" s="2"/>
      <c r="B4" s="16">
        <v>3</v>
      </c>
      <c r="C4" s="4" t="s">
        <v>739</v>
      </c>
      <c r="D4" s="4" t="s">
        <v>47</v>
      </c>
      <c r="E4" s="4" t="s">
        <v>48</v>
      </c>
      <c r="F4" s="4" t="s">
        <v>40</v>
      </c>
      <c r="G4" s="4"/>
      <c r="H4" s="4"/>
      <c r="I4" s="1" cm="1">
        <f t="array" aca="1" ref="I4" ca="1">INDIRECT("'テスト仕様(No." &amp; B4 &amp; ")'!$E$1")</f>
        <v>5</v>
      </c>
    </row>
  </sheetData>
  <phoneticPr fontId="6"/>
  <printOptions horizontalCentered="1"/>
  <pageMargins left="0.27559055118110237" right="0.27559055118110237" top="0.59055118110236227" bottom="0.39370078740157483" header="0.39370078740157483" footer="0.19685039370078741"/>
  <pageSetup paperSize="9" scale="68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2086-A46F-4FE1-8628-968A44EEFF94}">
  <sheetPr>
    <pageSetUpPr fitToPage="1"/>
  </sheetPr>
  <dimension ref="A1:W38"/>
  <sheetViews>
    <sheetView zoomScaleNormal="100" workbookViewId="0"/>
  </sheetViews>
  <sheetFormatPr defaultColWidth="2.5" defaultRowHeight="15" customHeight="1"/>
  <cols>
    <col min="1" max="1" width="1.625" style="57" customWidth="1"/>
    <col min="2" max="2" width="14.875" style="95" customWidth="1"/>
    <col min="3" max="3" width="5.375" style="96" customWidth="1"/>
    <col min="4" max="4" width="45.625" style="97" customWidth="1"/>
    <col min="5" max="21" width="5.625" style="80" customWidth="1"/>
    <col min="22" max="22" width="2.5" style="57"/>
    <col min="23" max="23" width="2.5" style="62"/>
    <col min="24" max="16384" width="2.5" style="57"/>
  </cols>
  <sheetData>
    <row r="1" spans="1:21" ht="26.25" customHeight="1">
      <c r="B1" s="58" t="s">
        <v>29</v>
      </c>
      <c r="C1" s="59">
        <v>1</v>
      </c>
      <c r="D1" s="60" t="s">
        <v>30</v>
      </c>
      <c r="E1" s="61">
        <f>COUNTA(F1:CU1)</f>
        <v>5</v>
      </c>
      <c r="F1" s="61">
        <f t="shared" ref="F1:J1" si="0">COLUMN()-5</f>
        <v>1</v>
      </c>
      <c r="G1" s="61">
        <f t="shared" si="0"/>
        <v>2</v>
      </c>
      <c r="H1" s="61">
        <f t="shared" si="0"/>
        <v>3</v>
      </c>
      <c r="I1" s="61">
        <f t="shared" si="0"/>
        <v>4</v>
      </c>
      <c r="J1" s="61">
        <f t="shared" si="0"/>
        <v>5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1:21" ht="20.100000000000001" customHeight="1">
      <c r="A2" s="63"/>
      <c r="B2" s="64"/>
      <c r="C2" s="65" t="s">
        <v>31</v>
      </c>
      <c r="D2" s="66" t="s">
        <v>32</v>
      </c>
      <c r="E2" s="67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9"/>
    </row>
    <row r="3" spans="1:21" ht="19.899999999999999" customHeight="1">
      <c r="A3" s="63"/>
      <c r="B3" s="70" t="s">
        <v>33</v>
      </c>
      <c r="C3" s="71">
        <v>1</v>
      </c>
      <c r="D3" s="72" t="s">
        <v>52</v>
      </c>
      <c r="E3" s="73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</row>
    <row r="4" spans="1:21" ht="20.100000000000001" customHeight="1">
      <c r="A4" s="63"/>
      <c r="B4" s="70"/>
      <c r="C4" s="71">
        <f t="shared" ref="C4" si="1">C3+1</f>
        <v>2</v>
      </c>
      <c r="D4" s="75" t="s">
        <v>241</v>
      </c>
      <c r="E4" s="76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1" ht="20.100000000000001" customHeight="1">
      <c r="A5" s="63"/>
      <c r="B5" s="70"/>
      <c r="C5" s="71" t="s">
        <v>221</v>
      </c>
      <c r="D5" s="56" t="s">
        <v>341</v>
      </c>
      <c r="E5" s="78"/>
      <c r="F5" s="61" t="s">
        <v>38</v>
      </c>
      <c r="G5" s="61"/>
      <c r="H5" s="61" t="s">
        <v>38</v>
      </c>
      <c r="I5" s="61" t="s">
        <v>38</v>
      </c>
      <c r="J5" s="61" t="s">
        <v>38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</row>
    <row r="6" spans="1:21" ht="20.100000000000001" customHeight="1">
      <c r="A6" s="63"/>
      <c r="B6" s="70"/>
      <c r="C6" s="71" t="s">
        <v>224</v>
      </c>
      <c r="D6" s="56" t="s">
        <v>45</v>
      </c>
      <c r="E6" s="78"/>
      <c r="F6" s="61"/>
      <c r="G6" s="61" t="s">
        <v>38</v>
      </c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</row>
    <row r="7" spans="1:21" ht="20.100000000000001" customHeight="1">
      <c r="A7" s="63"/>
      <c r="B7" s="70"/>
      <c r="C7" s="71"/>
      <c r="D7" s="79"/>
      <c r="E7" s="78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</row>
    <row r="8" spans="1:21" ht="9.9499999999999993" customHeight="1">
      <c r="A8" s="63"/>
      <c r="B8" s="81"/>
      <c r="C8" s="82"/>
      <c r="D8" s="83"/>
      <c r="E8" s="83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5"/>
    </row>
    <row r="9" spans="1:21" ht="20.100000000000001" customHeight="1">
      <c r="A9" s="63"/>
      <c r="B9" s="64"/>
      <c r="C9" s="18" t="s">
        <v>31</v>
      </c>
      <c r="D9" s="28" t="s">
        <v>34</v>
      </c>
      <c r="E9" s="67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9"/>
    </row>
    <row r="10" spans="1:21" ht="20.100000000000001" customHeight="1">
      <c r="A10" s="63"/>
      <c r="B10" s="70"/>
      <c r="C10" s="71" t="s">
        <v>220</v>
      </c>
      <c r="D10" s="38" t="s">
        <v>53</v>
      </c>
      <c r="E10" s="73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</row>
    <row r="11" spans="1:21" ht="30" customHeight="1">
      <c r="A11" s="63"/>
      <c r="B11" s="70"/>
      <c r="C11" s="71" t="s">
        <v>82</v>
      </c>
      <c r="D11" s="103" t="s">
        <v>366</v>
      </c>
      <c r="E11" s="78"/>
      <c r="F11" s="61" t="s">
        <v>38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</row>
    <row r="12" spans="1:21" ht="30" customHeight="1">
      <c r="A12" s="63"/>
      <c r="B12" s="70"/>
      <c r="C12" s="71" t="s">
        <v>244</v>
      </c>
      <c r="D12" s="103" t="s">
        <v>367</v>
      </c>
      <c r="E12" s="78"/>
      <c r="F12" s="61"/>
      <c r="G12" s="61" t="s">
        <v>38</v>
      </c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</row>
    <row r="13" spans="1:21" ht="30" customHeight="1">
      <c r="A13" s="63"/>
      <c r="B13" s="70"/>
      <c r="C13" s="71" t="s">
        <v>245</v>
      </c>
      <c r="D13" s="103" t="s">
        <v>368</v>
      </c>
      <c r="E13" s="78"/>
      <c r="F13" s="61"/>
      <c r="G13" s="61"/>
      <c r="H13" s="61" t="s">
        <v>38</v>
      </c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</row>
    <row r="14" spans="1:21" ht="30" customHeight="1">
      <c r="A14" s="63"/>
      <c r="B14" s="70"/>
      <c r="C14" s="71" t="s">
        <v>246</v>
      </c>
      <c r="D14" s="103" t="s">
        <v>369</v>
      </c>
      <c r="E14" s="78"/>
      <c r="F14" s="61"/>
      <c r="G14" s="61"/>
      <c r="H14" s="61"/>
      <c r="I14" s="61" t="s">
        <v>38</v>
      </c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</row>
    <row r="15" spans="1:21" ht="30" customHeight="1">
      <c r="A15" s="63"/>
      <c r="B15" s="70"/>
      <c r="C15" s="71" t="s">
        <v>247</v>
      </c>
      <c r="D15" s="103" t="s">
        <v>370</v>
      </c>
      <c r="E15" s="78"/>
      <c r="F15" s="61"/>
      <c r="G15" s="61"/>
      <c r="H15" s="61"/>
      <c r="I15" s="61"/>
      <c r="J15" s="61" t="s">
        <v>38</v>
      </c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</row>
    <row r="16" spans="1:21" ht="30" customHeight="1">
      <c r="A16" s="63"/>
      <c r="B16" s="70"/>
      <c r="C16" s="71"/>
      <c r="D16" s="86"/>
      <c r="E16" s="78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</row>
    <row r="17" spans="1:21" ht="30" customHeight="1">
      <c r="A17" s="63"/>
      <c r="B17" s="70"/>
      <c r="C17" s="71"/>
      <c r="D17" s="86"/>
      <c r="E17" s="78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</row>
    <row r="18" spans="1:21" ht="9.9499999999999993" customHeight="1">
      <c r="A18" s="63"/>
      <c r="B18" s="81"/>
      <c r="C18" s="82"/>
      <c r="D18" s="83"/>
      <c r="E18" s="83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5"/>
    </row>
    <row r="19" spans="1:21" ht="20.100000000000001" customHeight="1">
      <c r="A19" s="63"/>
      <c r="B19" s="29"/>
      <c r="C19" s="18" t="s">
        <v>31</v>
      </c>
      <c r="D19" s="30" t="s">
        <v>35</v>
      </c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9"/>
    </row>
    <row r="20" spans="1:21" ht="15" customHeight="1">
      <c r="A20" s="63"/>
      <c r="B20" s="25" t="s">
        <v>27</v>
      </c>
      <c r="C20" s="19">
        <v>1</v>
      </c>
      <c r="D20" s="20"/>
      <c r="E20" s="21" t="s">
        <v>36</v>
      </c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</row>
    <row r="21" spans="1:21" ht="15" customHeight="1">
      <c r="A21" s="63"/>
      <c r="B21" s="25"/>
      <c r="C21" s="19"/>
      <c r="D21" s="22"/>
      <c r="E21" s="23" t="s">
        <v>37</v>
      </c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</row>
    <row r="22" spans="1:21" ht="15" customHeight="1">
      <c r="A22" s="63"/>
      <c r="B22" s="87"/>
      <c r="C22" s="90"/>
      <c r="D22" s="91"/>
      <c r="E22" s="21" t="s">
        <v>36</v>
      </c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</row>
    <row r="23" spans="1:21" ht="15" customHeight="1">
      <c r="A23" s="63"/>
      <c r="B23" s="87"/>
      <c r="C23" s="92"/>
      <c r="D23" s="93"/>
      <c r="E23" s="23" t="s">
        <v>37</v>
      </c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</row>
    <row r="24" spans="1:21" ht="15" customHeight="1">
      <c r="A24" s="63"/>
      <c r="B24" s="87"/>
      <c r="C24" s="90"/>
      <c r="D24" s="91"/>
      <c r="E24" s="21" t="s">
        <v>36</v>
      </c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</row>
    <row r="25" spans="1:21" ht="15" customHeight="1">
      <c r="A25" s="63"/>
      <c r="B25" s="87"/>
      <c r="C25" s="92"/>
      <c r="D25" s="93"/>
      <c r="E25" s="23" t="s">
        <v>37</v>
      </c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</row>
    <row r="26" spans="1:21" ht="15" customHeight="1">
      <c r="A26" s="63"/>
      <c r="B26" s="87"/>
      <c r="C26" s="90"/>
      <c r="D26" s="91"/>
      <c r="E26" s="21" t="s">
        <v>36</v>
      </c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</row>
    <row r="27" spans="1:21" ht="15" customHeight="1">
      <c r="A27" s="63"/>
      <c r="B27" s="87"/>
      <c r="C27" s="92"/>
      <c r="D27" s="93"/>
      <c r="E27" s="23" t="s">
        <v>37</v>
      </c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</row>
    <row r="28" spans="1:21" ht="15" customHeight="1">
      <c r="A28" s="63"/>
      <c r="B28" s="87"/>
      <c r="C28" s="90"/>
      <c r="D28" s="91"/>
      <c r="E28" s="21" t="s">
        <v>36</v>
      </c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</row>
    <row r="29" spans="1:21" ht="15" customHeight="1">
      <c r="A29" s="63"/>
      <c r="B29" s="87"/>
      <c r="C29" s="92"/>
      <c r="D29" s="93"/>
      <c r="E29" s="23" t="s">
        <v>37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</row>
    <row r="30" spans="1:21" ht="15" customHeight="1">
      <c r="A30" s="63"/>
      <c r="B30" s="87"/>
      <c r="C30" s="90"/>
      <c r="D30" s="91"/>
      <c r="E30" s="21" t="s">
        <v>36</v>
      </c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</row>
    <row r="31" spans="1:21" ht="15" customHeight="1">
      <c r="A31" s="63"/>
      <c r="B31" s="87"/>
      <c r="C31" s="92"/>
      <c r="D31" s="93"/>
      <c r="E31" s="23" t="s">
        <v>37</v>
      </c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</row>
    <row r="32" spans="1:21" ht="15" customHeight="1">
      <c r="A32" s="63"/>
      <c r="B32" s="87"/>
      <c r="C32" s="90"/>
      <c r="D32" s="91"/>
      <c r="E32" s="21" t="s">
        <v>36</v>
      </c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</row>
    <row r="33" spans="1:21" ht="15" customHeight="1">
      <c r="A33" s="63"/>
      <c r="B33" s="87"/>
      <c r="C33" s="92"/>
      <c r="D33" s="93"/>
      <c r="E33" s="23" t="s">
        <v>37</v>
      </c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</row>
    <row r="34" spans="1:21" ht="15" customHeight="1">
      <c r="A34" s="63"/>
      <c r="B34" s="87"/>
      <c r="C34" s="90"/>
      <c r="D34" s="91"/>
      <c r="E34" s="21" t="s">
        <v>36</v>
      </c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</row>
    <row r="35" spans="1:21" ht="15" customHeight="1">
      <c r="A35" s="63"/>
      <c r="B35" s="87"/>
      <c r="C35" s="92"/>
      <c r="D35" s="93"/>
      <c r="E35" s="23" t="s">
        <v>37</v>
      </c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</row>
    <row r="36" spans="1:21" ht="9.9499999999999993" customHeight="1">
      <c r="A36" s="63"/>
      <c r="B36" s="81"/>
      <c r="C36" s="82"/>
      <c r="D36" s="83"/>
      <c r="E36" s="83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5"/>
    </row>
    <row r="37" spans="1:21" ht="20.100000000000001" customHeight="1">
      <c r="B37" s="94"/>
      <c r="C37" s="83"/>
      <c r="D37" s="83"/>
      <c r="E37" s="69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</row>
    <row r="38" spans="1:21" ht="237" customHeight="1"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9"/>
    </row>
  </sheetData>
  <phoneticPr fontId="6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8D41-A093-4823-AC89-BC97A29B5E6F}">
  <sheetPr codeName="Sheet9"/>
  <dimension ref="B5:Q18"/>
  <sheetViews>
    <sheetView zoomScaleNormal="100" workbookViewId="0"/>
  </sheetViews>
  <sheetFormatPr defaultRowHeight="13.5"/>
  <cols>
    <col min="1" max="11" width="9" style="100"/>
    <col min="12" max="13" width="11.625" style="100" bestFit="1" customWidth="1"/>
    <col min="14" max="15" width="17.25" style="100" bestFit="1" customWidth="1"/>
    <col min="16" max="16" width="18.375" style="100" bestFit="1" customWidth="1"/>
    <col min="17" max="17" width="41.875" style="100" customWidth="1"/>
    <col min="18" max="16384" width="9" style="100"/>
  </cols>
  <sheetData>
    <row r="5" spans="2:17" ht="18">
      <c r="B5" s="100" t="s">
        <v>372</v>
      </c>
      <c r="D5" s="101"/>
    </row>
    <row r="6" spans="2:17">
      <c r="B6" s="102" t="s">
        <v>293</v>
      </c>
      <c r="C6" s="102" t="s">
        <v>294</v>
      </c>
      <c r="D6" s="102" t="s">
        <v>295</v>
      </c>
      <c r="E6" s="102" t="s">
        <v>296</v>
      </c>
      <c r="F6" s="102" t="s">
        <v>297</v>
      </c>
      <c r="G6" s="102" t="s">
        <v>298</v>
      </c>
      <c r="H6" s="102" t="s">
        <v>299</v>
      </c>
      <c r="I6" s="102" t="s">
        <v>300</v>
      </c>
      <c r="J6" s="102" t="s">
        <v>301</v>
      </c>
      <c r="K6" s="102" t="s">
        <v>302</v>
      </c>
      <c r="L6" s="119" t="s">
        <v>303</v>
      </c>
      <c r="M6" s="119" t="s">
        <v>304</v>
      </c>
      <c r="N6" s="119" t="s">
        <v>305</v>
      </c>
      <c r="O6" s="102" t="s">
        <v>306</v>
      </c>
      <c r="P6" s="109" t="s">
        <v>307</v>
      </c>
      <c r="Q6" s="188" t="s">
        <v>371</v>
      </c>
    </row>
    <row r="7" spans="2:17">
      <c r="B7" s="102" t="s">
        <v>308</v>
      </c>
      <c r="C7" s="102" t="s">
        <v>309</v>
      </c>
      <c r="D7" s="102" t="s">
        <v>310</v>
      </c>
      <c r="E7" s="102" t="s">
        <v>311</v>
      </c>
      <c r="F7" s="102" t="s">
        <v>312</v>
      </c>
      <c r="G7" s="102" t="s">
        <v>313</v>
      </c>
      <c r="H7" s="102" t="s">
        <v>314</v>
      </c>
      <c r="I7" s="102" t="s">
        <v>315</v>
      </c>
      <c r="J7" s="102" t="s">
        <v>316</v>
      </c>
      <c r="K7" s="102" t="s">
        <v>317</v>
      </c>
      <c r="L7" s="119" t="s">
        <v>318</v>
      </c>
      <c r="M7" s="119" t="s">
        <v>319</v>
      </c>
      <c r="N7" s="119" t="s">
        <v>320</v>
      </c>
      <c r="O7" s="102" t="s">
        <v>321</v>
      </c>
      <c r="P7" s="109" t="s">
        <v>322</v>
      </c>
      <c r="Q7" s="188"/>
    </row>
    <row r="8" spans="2:17">
      <c r="B8" s="102" t="s">
        <v>323</v>
      </c>
      <c r="C8" s="102" t="s">
        <v>324</v>
      </c>
      <c r="D8" s="102" t="s">
        <v>325</v>
      </c>
      <c r="E8" s="102" t="s">
        <v>326</v>
      </c>
      <c r="F8" s="102" t="s">
        <v>326</v>
      </c>
      <c r="G8" s="102" t="s">
        <v>327</v>
      </c>
      <c r="H8" s="102" t="s">
        <v>326</v>
      </c>
      <c r="I8" s="102" t="s">
        <v>327</v>
      </c>
      <c r="J8" s="102" t="s">
        <v>326</v>
      </c>
      <c r="K8" s="102" t="s">
        <v>327</v>
      </c>
      <c r="L8" s="119" t="s">
        <v>327</v>
      </c>
      <c r="M8" s="119" t="s">
        <v>327</v>
      </c>
      <c r="N8" s="119" t="s">
        <v>325</v>
      </c>
      <c r="O8" s="102" t="s">
        <v>325</v>
      </c>
      <c r="P8" s="109" t="s">
        <v>327</v>
      </c>
      <c r="Q8" s="188"/>
    </row>
    <row r="9" spans="2:17">
      <c r="B9" s="102" t="s">
        <v>328</v>
      </c>
      <c r="C9" s="102">
        <v>1</v>
      </c>
      <c r="D9" s="102"/>
      <c r="E9" s="102"/>
      <c r="F9" s="102"/>
      <c r="G9" s="102">
        <v>8</v>
      </c>
      <c r="H9" s="102"/>
      <c r="I9" s="102">
        <v>8</v>
      </c>
      <c r="J9" s="102"/>
      <c r="K9" s="102">
        <v>8</v>
      </c>
      <c r="L9" s="119">
        <v>4</v>
      </c>
      <c r="M9" s="119">
        <v>2</v>
      </c>
      <c r="N9" s="119">
        <v>8</v>
      </c>
      <c r="O9" s="102">
        <v>8</v>
      </c>
      <c r="P9" s="109">
        <v>20</v>
      </c>
      <c r="Q9" s="188"/>
    </row>
    <row r="10" spans="2:17">
      <c r="B10" s="102" t="s">
        <v>329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19"/>
      <c r="M10" s="119"/>
      <c r="N10" s="119">
        <v>0</v>
      </c>
      <c r="O10" s="102">
        <v>0</v>
      </c>
      <c r="P10" s="109"/>
      <c r="Q10" s="188"/>
    </row>
    <row r="11" spans="2:17">
      <c r="B11" s="102" t="s">
        <v>330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19"/>
      <c r="M11" s="119"/>
      <c r="N11" s="119"/>
      <c r="O11" s="102"/>
      <c r="P11" s="109"/>
      <c r="Q11" s="188"/>
    </row>
    <row r="12" spans="2:17">
      <c r="B12" s="102" t="s">
        <v>331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19">
        <v>1</v>
      </c>
      <c r="M12" s="119">
        <v>2</v>
      </c>
      <c r="N12" s="119">
        <v>3</v>
      </c>
      <c r="O12" s="102"/>
      <c r="P12" s="109"/>
      <c r="Q12" s="188"/>
    </row>
    <row r="13" spans="2:17">
      <c r="B13" s="102" t="s">
        <v>332</v>
      </c>
      <c r="C13" s="102">
        <v>0</v>
      </c>
      <c r="D13" s="102">
        <v>0</v>
      </c>
      <c r="E13" s="102"/>
      <c r="F13" s="102"/>
      <c r="G13" s="102"/>
      <c r="H13" s="102"/>
      <c r="I13" s="102"/>
      <c r="J13" s="102"/>
      <c r="K13" s="102"/>
      <c r="L13" s="119"/>
      <c r="M13" s="119"/>
      <c r="N13" s="119"/>
      <c r="O13" s="102">
        <v>99991231</v>
      </c>
      <c r="P13" s="109"/>
      <c r="Q13" s="188"/>
    </row>
    <row r="14" spans="2:17">
      <c r="B14" s="110" t="s">
        <v>333</v>
      </c>
      <c r="C14" s="110" t="s">
        <v>334</v>
      </c>
      <c r="D14" s="110" t="s">
        <v>334</v>
      </c>
      <c r="E14" s="110" t="s">
        <v>334</v>
      </c>
      <c r="F14" s="110" t="s">
        <v>334</v>
      </c>
      <c r="G14" s="110" t="s">
        <v>334</v>
      </c>
      <c r="H14" s="110" t="s">
        <v>334</v>
      </c>
      <c r="I14" s="110" t="s">
        <v>334</v>
      </c>
      <c r="J14" s="110"/>
      <c r="K14" s="110"/>
      <c r="L14" s="120" t="s">
        <v>334</v>
      </c>
      <c r="M14" s="120" t="s">
        <v>334</v>
      </c>
      <c r="N14" s="120" t="s">
        <v>334</v>
      </c>
      <c r="O14" s="110" t="s">
        <v>334</v>
      </c>
      <c r="P14" s="111" t="s">
        <v>334</v>
      </c>
      <c r="Q14" s="188"/>
    </row>
    <row r="15" spans="2:17" ht="85.5">
      <c r="B15" s="108" t="s">
        <v>633</v>
      </c>
      <c r="C15" s="108">
        <v>0</v>
      </c>
      <c r="D15" s="108">
        <v>0</v>
      </c>
      <c r="E15" s="108" t="s">
        <v>335</v>
      </c>
      <c r="F15" s="108" t="s">
        <v>335</v>
      </c>
      <c r="G15" s="108" t="s">
        <v>336</v>
      </c>
      <c r="H15" s="108" t="s">
        <v>337</v>
      </c>
      <c r="I15" s="108" t="s">
        <v>336</v>
      </c>
      <c r="J15" s="108" t="s">
        <v>338</v>
      </c>
      <c r="K15" s="108" t="s">
        <v>339</v>
      </c>
      <c r="L15" s="112">
        <v>1010</v>
      </c>
      <c r="M15" s="108" t="s">
        <v>599</v>
      </c>
      <c r="N15" s="113">
        <v>20250404</v>
      </c>
      <c r="O15" s="113">
        <v>20261201</v>
      </c>
      <c r="P15" s="114" t="s">
        <v>340</v>
      </c>
      <c r="Q15" s="121" t="s">
        <v>634</v>
      </c>
    </row>
    <row r="16" spans="2:17" ht="18">
      <c r="B16" s="108" t="s">
        <v>342</v>
      </c>
      <c r="C16" s="108">
        <v>0</v>
      </c>
      <c r="D16" s="108">
        <v>0</v>
      </c>
      <c r="E16" s="108" t="s">
        <v>335</v>
      </c>
      <c r="F16" s="108" t="s">
        <v>335</v>
      </c>
      <c r="G16" s="108" t="s">
        <v>336</v>
      </c>
      <c r="H16" s="108" t="s">
        <v>337</v>
      </c>
      <c r="I16" s="108" t="s">
        <v>336</v>
      </c>
      <c r="J16" s="108" t="s">
        <v>338</v>
      </c>
      <c r="K16" s="108" t="s">
        <v>339</v>
      </c>
      <c r="L16" s="112">
        <v>1010</v>
      </c>
      <c r="M16" s="108" t="s">
        <v>599</v>
      </c>
      <c r="N16" s="113">
        <v>20250405</v>
      </c>
      <c r="O16" s="113">
        <v>20261201</v>
      </c>
      <c r="P16" s="108" t="s">
        <v>340</v>
      </c>
      <c r="Q16" s="117" t="s">
        <v>537</v>
      </c>
    </row>
    <row r="17" spans="2:17" ht="18">
      <c r="B17" s="108" t="s">
        <v>342</v>
      </c>
      <c r="C17" s="108">
        <v>0</v>
      </c>
      <c r="D17" s="108">
        <v>0</v>
      </c>
      <c r="E17" s="108" t="s">
        <v>335</v>
      </c>
      <c r="F17" s="108" t="s">
        <v>335</v>
      </c>
      <c r="G17" s="108" t="s">
        <v>336</v>
      </c>
      <c r="H17" s="108" t="s">
        <v>337</v>
      </c>
      <c r="I17" s="108" t="s">
        <v>336</v>
      </c>
      <c r="J17" s="108" t="s">
        <v>338</v>
      </c>
      <c r="K17" s="108" t="s">
        <v>339</v>
      </c>
      <c r="L17" s="112">
        <v>1010</v>
      </c>
      <c r="M17" s="108" t="s">
        <v>600</v>
      </c>
      <c r="N17" s="113">
        <v>20250406</v>
      </c>
      <c r="O17" s="113">
        <v>20261201</v>
      </c>
      <c r="P17" s="108" t="s">
        <v>340</v>
      </c>
      <c r="Q17" s="117" t="s">
        <v>537</v>
      </c>
    </row>
    <row r="18" spans="2:17" ht="18">
      <c r="B18" s="108" t="s">
        <v>342</v>
      </c>
      <c r="C18" s="108">
        <v>0</v>
      </c>
      <c r="D18" s="108">
        <v>0</v>
      </c>
      <c r="E18" s="108" t="s">
        <v>335</v>
      </c>
      <c r="F18" s="108" t="s">
        <v>335</v>
      </c>
      <c r="G18" s="108" t="s">
        <v>336</v>
      </c>
      <c r="H18" s="108" t="s">
        <v>337</v>
      </c>
      <c r="I18" s="108" t="s">
        <v>336</v>
      </c>
      <c r="J18" s="108" t="s">
        <v>338</v>
      </c>
      <c r="K18" s="108" t="s">
        <v>339</v>
      </c>
      <c r="L18" s="112">
        <v>1010</v>
      </c>
      <c r="M18" s="108" t="s">
        <v>600</v>
      </c>
      <c r="N18" s="113">
        <v>20250407</v>
      </c>
      <c r="O18" s="113">
        <v>20261201</v>
      </c>
      <c r="P18" s="108" t="s">
        <v>340</v>
      </c>
      <c r="Q18" s="117" t="s">
        <v>537</v>
      </c>
    </row>
  </sheetData>
  <mergeCells count="1">
    <mergeCell ref="Q6:Q14"/>
  </mergeCells>
  <phoneticPr fontId="4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C066-C7E2-42D7-8FDF-F99E53F162FE}">
  <dimension ref="B4:E23"/>
  <sheetViews>
    <sheetView zoomScaleNormal="100" workbookViewId="0"/>
  </sheetViews>
  <sheetFormatPr defaultColWidth="10.625" defaultRowHeight="13.5"/>
  <sheetData>
    <row r="4" spans="2:5">
      <c r="B4" s="106" t="s">
        <v>44</v>
      </c>
      <c r="C4" t="s">
        <v>349</v>
      </c>
    </row>
    <row r="5" spans="2:5" ht="14.25">
      <c r="B5" s="104" t="s">
        <v>354</v>
      </c>
      <c r="C5" s="104" t="s">
        <v>241</v>
      </c>
      <c r="D5" s="104" t="s">
        <v>242</v>
      </c>
    </row>
    <row r="6" spans="2:5" ht="14.25">
      <c r="B6" s="104" t="s">
        <v>355</v>
      </c>
      <c r="C6" s="104" t="s">
        <v>347</v>
      </c>
      <c r="D6" s="104"/>
    </row>
    <row r="7" spans="2:5">
      <c r="B7" s="105" t="s">
        <v>353</v>
      </c>
      <c r="C7" s="105" t="s">
        <v>348</v>
      </c>
      <c r="D7" s="105" t="s">
        <v>356</v>
      </c>
      <c r="E7" t="s">
        <v>353</v>
      </c>
    </row>
    <row r="8" spans="2:5">
      <c r="B8" s="105" t="s">
        <v>357</v>
      </c>
      <c r="C8" s="105" t="s">
        <v>45</v>
      </c>
      <c r="D8" s="105" t="s">
        <v>362</v>
      </c>
      <c r="E8" t="s">
        <v>533</v>
      </c>
    </row>
    <row r="9" spans="2:5">
      <c r="B9" s="105" t="s">
        <v>358</v>
      </c>
      <c r="C9" s="105" t="s">
        <v>348</v>
      </c>
      <c r="D9" s="105" t="s">
        <v>363</v>
      </c>
      <c r="E9" t="s">
        <v>534</v>
      </c>
    </row>
    <row r="10" spans="2:5">
      <c r="B10" s="105" t="s">
        <v>359</v>
      </c>
      <c r="C10" s="105" t="s">
        <v>348</v>
      </c>
      <c r="D10" s="105" t="s">
        <v>364</v>
      </c>
      <c r="E10" t="s">
        <v>535</v>
      </c>
    </row>
    <row r="11" spans="2:5">
      <c r="B11" s="105" t="s">
        <v>360</v>
      </c>
      <c r="C11" s="105" t="s">
        <v>348</v>
      </c>
      <c r="D11" s="105" t="s">
        <v>365</v>
      </c>
      <c r="E11" t="s">
        <v>536</v>
      </c>
    </row>
    <row r="16" spans="2:5">
      <c r="B16" s="106" t="s">
        <v>352</v>
      </c>
      <c r="C16" t="s">
        <v>351</v>
      </c>
    </row>
    <row r="17" spans="2:3" ht="14.25">
      <c r="B17" s="104" t="s">
        <v>354</v>
      </c>
      <c r="C17" s="104" t="s">
        <v>373</v>
      </c>
    </row>
    <row r="18" spans="2:3" ht="14.25">
      <c r="B18" s="104" t="s">
        <v>355</v>
      </c>
      <c r="C18" s="104" t="s">
        <v>347</v>
      </c>
    </row>
    <row r="19" spans="2:3">
      <c r="B19" s="105" t="s">
        <v>353</v>
      </c>
      <c r="C19" s="105" t="s">
        <v>601</v>
      </c>
    </row>
    <row r="20" spans="2:3">
      <c r="B20" s="105" t="s">
        <v>343</v>
      </c>
      <c r="C20" s="105" t="s">
        <v>45</v>
      </c>
    </row>
    <row r="21" spans="2:3">
      <c r="B21" s="105" t="s">
        <v>344</v>
      </c>
      <c r="C21" s="105" t="s">
        <v>45</v>
      </c>
    </row>
    <row r="22" spans="2:3">
      <c r="B22" s="105" t="s">
        <v>345</v>
      </c>
      <c r="C22" s="105" t="s">
        <v>45</v>
      </c>
    </row>
    <row r="23" spans="2:3">
      <c r="B23" s="105" t="s">
        <v>346</v>
      </c>
      <c r="C23" s="105" t="s">
        <v>45</v>
      </c>
    </row>
  </sheetData>
  <phoneticPr fontId="6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E264-86BF-486F-895A-DB0CF98D2416}">
  <sheetPr>
    <pageSetUpPr fitToPage="1"/>
  </sheetPr>
  <dimension ref="A1:X43"/>
  <sheetViews>
    <sheetView zoomScaleNormal="100" workbookViewId="0">
      <selection activeCell="F1" sqref="F1:F1048576"/>
    </sheetView>
  </sheetViews>
  <sheetFormatPr defaultColWidth="2.5" defaultRowHeight="15" customHeight="1"/>
  <cols>
    <col min="1" max="1" width="1.625" style="57" customWidth="1"/>
    <col min="2" max="2" width="14.875" style="95" customWidth="1"/>
    <col min="3" max="3" width="5.375" style="96" customWidth="1"/>
    <col min="4" max="4" width="45.625" style="97" customWidth="1"/>
    <col min="5" max="22" width="5.625" style="80" customWidth="1"/>
    <col min="23" max="23" width="2.5" style="57"/>
    <col min="24" max="24" width="2.5" style="62"/>
    <col min="25" max="16384" width="2.5" style="57"/>
  </cols>
  <sheetData>
    <row r="1" spans="1:22" ht="26.25" customHeight="1">
      <c r="B1" s="58" t="s">
        <v>29</v>
      </c>
      <c r="C1" s="59">
        <v>1</v>
      </c>
      <c r="D1" s="60" t="s">
        <v>30</v>
      </c>
      <c r="E1" s="61">
        <f>COUNTA(F1:CV1)</f>
        <v>5</v>
      </c>
      <c r="F1" s="61">
        <f t="shared" ref="F1:J1" si="0">COLUMN()-5</f>
        <v>1</v>
      </c>
      <c r="G1" s="61">
        <f t="shared" si="0"/>
        <v>2</v>
      </c>
      <c r="H1" s="61">
        <f t="shared" si="0"/>
        <v>3</v>
      </c>
      <c r="I1" s="61">
        <f t="shared" si="0"/>
        <v>4</v>
      </c>
      <c r="J1" s="61">
        <f t="shared" si="0"/>
        <v>5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2" ht="20.100000000000001" customHeight="1">
      <c r="A2" s="63"/>
      <c r="B2" s="64"/>
      <c r="C2" s="65" t="s">
        <v>31</v>
      </c>
      <c r="D2" s="66" t="s">
        <v>32</v>
      </c>
      <c r="E2" s="67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</row>
    <row r="3" spans="1:22" ht="19.899999999999999" customHeight="1">
      <c r="A3" s="63"/>
      <c r="B3" s="70" t="s">
        <v>33</v>
      </c>
      <c r="C3" s="71">
        <v>1</v>
      </c>
      <c r="D3" s="72" t="s">
        <v>52</v>
      </c>
      <c r="E3" s="73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</row>
    <row r="4" spans="1:22" ht="20.100000000000001" customHeight="1">
      <c r="A4" s="63"/>
      <c r="B4" s="70"/>
      <c r="C4" s="71">
        <f t="shared" ref="C4" si="1">C3+1</f>
        <v>2</v>
      </c>
      <c r="D4" s="107" t="s">
        <v>373</v>
      </c>
      <c r="E4" s="76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1:22" ht="20.100000000000001" customHeight="1">
      <c r="A5" s="63"/>
      <c r="B5" s="70"/>
      <c r="C5" s="71" t="s">
        <v>221</v>
      </c>
      <c r="D5" s="56" t="s">
        <v>341</v>
      </c>
      <c r="E5" s="78"/>
      <c r="F5" s="61" t="s">
        <v>38</v>
      </c>
      <c r="G5" s="61"/>
      <c r="H5" s="61"/>
      <c r="I5" s="61"/>
      <c r="J5" s="61" t="s">
        <v>38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 spans="1:22" ht="20.100000000000001" customHeight="1">
      <c r="A6" s="63"/>
      <c r="B6" s="70"/>
      <c r="C6" s="71" t="s">
        <v>224</v>
      </c>
      <c r="D6" s="56" t="s">
        <v>45</v>
      </c>
      <c r="E6" s="78"/>
      <c r="F6" s="61"/>
      <c r="G6" s="61" t="s">
        <v>38</v>
      </c>
      <c r="H6" s="61" t="s">
        <v>38</v>
      </c>
      <c r="I6" s="61" t="s">
        <v>38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 spans="1:22" ht="20.100000000000001" customHeight="1">
      <c r="A7" s="63"/>
      <c r="B7" s="70"/>
      <c r="C7" s="71"/>
      <c r="D7" s="55"/>
      <c r="E7" s="78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 spans="1:22" ht="20.100000000000001" customHeight="1">
      <c r="A8" s="63"/>
      <c r="B8" s="70"/>
      <c r="C8" s="71" t="s">
        <v>223</v>
      </c>
      <c r="D8" s="75" t="s">
        <v>374</v>
      </c>
      <c r="E8" s="76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 ht="20.100000000000001" customHeight="1">
      <c r="A9" s="63"/>
      <c r="B9" s="70"/>
      <c r="C9" s="71" t="s">
        <v>225</v>
      </c>
      <c r="D9" s="56" t="s">
        <v>376</v>
      </c>
      <c r="E9" s="78"/>
      <c r="F9" s="61" t="s">
        <v>38</v>
      </c>
      <c r="G9" s="61" t="s">
        <v>38</v>
      </c>
      <c r="H9" s="61"/>
      <c r="I9" s="61" t="s">
        <v>38</v>
      </c>
      <c r="J9" s="61" t="s">
        <v>38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 spans="1:22" ht="20.100000000000001" customHeight="1">
      <c r="A10" s="63"/>
      <c r="B10" s="70"/>
      <c r="C10" s="71" t="s">
        <v>375</v>
      </c>
      <c r="D10" s="56" t="s">
        <v>583</v>
      </c>
      <c r="E10" s="78"/>
      <c r="F10" s="61"/>
      <c r="G10" s="61"/>
      <c r="H10" s="61" t="s">
        <v>38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 spans="1:22" ht="20.100000000000001" customHeight="1">
      <c r="A11" s="63"/>
      <c r="B11" s="70"/>
      <c r="C11" s="71"/>
      <c r="D11" s="55"/>
      <c r="E11" s="78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 spans="1:22" ht="20.100000000000001" customHeight="1">
      <c r="A12" s="63"/>
      <c r="B12" s="70"/>
      <c r="C12" s="71"/>
      <c r="D12" s="79"/>
      <c r="E12" s="78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 spans="1:22" ht="9.9499999999999993" customHeight="1">
      <c r="A13" s="63"/>
      <c r="B13" s="81"/>
      <c r="C13" s="82"/>
      <c r="D13" s="83"/>
      <c r="E13" s="83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5"/>
    </row>
    <row r="14" spans="1:22" ht="20.100000000000001" customHeight="1">
      <c r="A14" s="63"/>
      <c r="B14" s="64"/>
      <c r="C14" s="18" t="s">
        <v>31</v>
      </c>
      <c r="D14" s="28" t="s">
        <v>34</v>
      </c>
      <c r="E14" s="67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9"/>
    </row>
    <row r="15" spans="1:22" ht="20.100000000000001" customHeight="1">
      <c r="A15" s="63"/>
      <c r="B15" s="70"/>
      <c r="C15" s="71" t="s">
        <v>220</v>
      </c>
      <c r="D15" s="38" t="s">
        <v>53</v>
      </c>
      <c r="E15" s="73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</row>
    <row r="16" spans="1:22" ht="30" customHeight="1">
      <c r="A16" s="63"/>
      <c r="B16" s="70"/>
      <c r="C16" s="71" t="s">
        <v>244</v>
      </c>
      <c r="D16" s="103" t="s">
        <v>366</v>
      </c>
      <c r="E16" s="78"/>
      <c r="F16" s="61" t="s">
        <v>38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 spans="1:22" ht="30" customHeight="1">
      <c r="A17" s="63"/>
      <c r="B17" s="70"/>
      <c r="C17" s="71" t="s">
        <v>245</v>
      </c>
      <c r="D17" s="103" t="s">
        <v>367</v>
      </c>
      <c r="E17" s="78"/>
      <c r="F17" s="61"/>
      <c r="G17" s="61" t="s">
        <v>38</v>
      </c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 spans="1:22" ht="30" customHeight="1">
      <c r="A18" s="63"/>
      <c r="B18" s="70"/>
      <c r="C18" s="71" t="s">
        <v>246</v>
      </c>
      <c r="D18" s="103" t="s">
        <v>368</v>
      </c>
      <c r="E18" s="78"/>
      <c r="F18" s="61"/>
      <c r="G18" s="61"/>
      <c r="H18" s="61" t="s">
        <v>38</v>
      </c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 spans="1:22" ht="30" customHeight="1">
      <c r="A19" s="63"/>
      <c r="B19" s="70"/>
      <c r="C19" s="71" t="s">
        <v>247</v>
      </c>
      <c r="D19" s="103" t="s">
        <v>369</v>
      </c>
      <c r="E19" s="78"/>
      <c r="F19" s="61"/>
      <c r="G19" s="61"/>
      <c r="H19" s="61"/>
      <c r="I19" s="61" t="s">
        <v>38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 spans="1:22" ht="30" customHeight="1">
      <c r="A20" s="63"/>
      <c r="B20" s="70"/>
      <c r="C20" s="71" t="s">
        <v>248</v>
      </c>
      <c r="D20" s="103" t="s">
        <v>370</v>
      </c>
      <c r="E20" s="78"/>
      <c r="F20" s="61"/>
      <c r="G20" s="61"/>
      <c r="H20" s="61"/>
      <c r="I20" s="61"/>
      <c r="J20" s="61" t="s">
        <v>38</v>
      </c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 spans="1:22" ht="30" customHeight="1">
      <c r="A21" s="63"/>
      <c r="B21" s="70"/>
      <c r="C21" s="71"/>
      <c r="D21" s="86"/>
      <c r="E21" s="78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 spans="1:22" ht="30" customHeight="1">
      <c r="A22" s="63"/>
      <c r="B22" s="70"/>
      <c r="C22" s="71"/>
      <c r="D22" s="86"/>
      <c r="E22" s="78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 spans="1:22" ht="9.9499999999999993" customHeight="1">
      <c r="A23" s="63"/>
      <c r="B23" s="81"/>
      <c r="C23" s="82"/>
      <c r="D23" s="83"/>
      <c r="E23" s="83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5"/>
    </row>
    <row r="24" spans="1:22" ht="20.100000000000001" customHeight="1">
      <c r="A24" s="63"/>
      <c r="B24" s="29"/>
      <c r="C24" s="18" t="s">
        <v>31</v>
      </c>
      <c r="D24" s="30" t="s">
        <v>35</v>
      </c>
      <c r="E24" s="67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9"/>
    </row>
    <row r="25" spans="1:22" ht="15" customHeight="1">
      <c r="A25" s="63"/>
      <c r="B25" s="25" t="s">
        <v>27</v>
      </c>
      <c r="C25" s="19">
        <v>1</v>
      </c>
      <c r="D25" s="20"/>
      <c r="E25" s="21" t="s">
        <v>36</v>
      </c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</row>
    <row r="26" spans="1:22" ht="15" customHeight="1">
      <c r="A26" s="63"/>
      <c r="B26" s="25"/>
      <c r="C26" s="19"/>
      <c r="D26" s="22"/>
      <c r="E26" s="23" t="s">
        <v>37</v>
      </c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</row>
    <row r="27" spans="1:22" ht="15" customHeight="1">
      <c r="A27" s="63"/>
      <c r="B27" s="87"/>
      <c r="C27" s="90"/>
      <c r="D27" s="91"/>
      <c r="E27" s="21" t="s">
        <v>36</v>
      </c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</row>
    <row r="28" spans="1:22" ht="15" customHeight="1">
      <c r="A28" s="63"/>
      <c r="B28" s="87"/>
      <c r="C28" s="92"/>
      <c r="D28" s="93"/>
      <c r="E28" s="23" t="s">
        <v>37</v>
      </c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</row>
    <row r="29" spans="1:22" ht="15" customHeight="1">
      <c r="A29" s="63"/>
      <c r="B29" s="87"/>
      <c r="C29" s="90"/>
      <c r="D29" s="91"/>
      <c r="E29" s="21" t="s">
        <v>36</v>
      </c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</row>
    <row r="30" spans="1:22" ht="15" customHeight="1">
      <c r="A30" s="63"/>
      <c r="B30" s="87"/>
      <c r="C30" s="92"/>
      <c r="D30" s="93"/>
      <c r="E30" s="23" t="s">
        <v>37</v>
      </c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</row>
    <row r="31" spans="1:22" ht="15" customHeight="1">
      <c r="A31" s="63"/>
      <c r="B31" s="87"/>
      <c r="C31" s="90"/>
      <c r="D31" s="91"/>
      <c r="E31" s="21" t="s">
        <v>36</v>
      </c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</row>
    <row r="32" spans="1:22" ht="15" customHeight="1">
      <c r="A32" s="63"/>
      <c r="B32" s="87"/>
      <c r="C32" s="92"/>
      <c r="D32" s="93"/>
      <c r="E32" s="23" t="s">
        <v>37</v>
      </c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</row>
    <row r="33" spans="1:22" ht="15" customHeight="1">
      <c r="A33" s="63"/>
      <c r="B33" s="87"/>
      <c r="C33" s="90"/>
      <c r="D33" s="91"/>
      <c r="E33" s="21" t="s">
        <v>36</v>
      </c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</row>
    <row r="34" spans="1:22" ht="15" customHeight="1">
      <c r="A34" s="63"/>
      <c r="B34" s="87"/>
      <c r="C34" s="92"/>
      <c r="D34" s="93"/>
      <c r="E34" s="23" t="s">
        <v>37</v>
      </c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</row>
    <row r="35" spans="1:22" ht="15" customHeight="1">
      <c r="A35" s="63"/>
      <c r="B35" s="87"/>
      <c r="C35" s="90"/>
      <c r="D35" s="91"/>
      <c r="E35" s="21" t="s">
        <v>36</v>
      </c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</row>
    <row r="36" spans="1:22" ht="15" customHeight="1">
      <c r="A36" s="63"/>
      <c r="B36" s="87"/>
      <c r="C36" s="92"/>
      <c r="D36" s="93"/>
      <c r="E36" s="23" t="s">
        <v>37</v>
      </c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</row>
    <row r="37" spans="1:22" ht="15" customHeight="1">
      <c r="A37" s="63"/>
      <c r="B37" s="87"/>
      <c r="C37" s="90"/>
      <c r="D37" s="91"/>
      <c r="E37" s="21" t="s">
        <v>36</v>
      </c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</row>
    <row r="38" spans="1:22" ht="15" customHeight="1">
      <c r="A38" s="63"/>
      <c r="B38" s="87"/>
      <c r="C38" s="92"/>
      <c r="D38" s="93"/>
      <c r="E38" s="23" t="s">
        <v>37</v>
      </c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</row>
    <row r="39" spans="1:22" ht="15" customHeight="1">
      <c r="A39" s="63"/>
      <c r="B39" s="87"/>
      <c r="C39" s="90"/>
      <c r="D39" s="91"/>
      <c r="E39" s="21" t="s">
        <v>36</v>
      </c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</row>
    <row r="40" spans="1:22" ht="15" customHeight="1">
      <c r="A40" s="63"/>
      <c r="B40" s="87"/>
      <c r="C40" s="92"/>
      <c r="D40" s="93"/>
      <c r="E40" s="23" t="s">
        <v>37</v>
      </c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</row>
    <row r="41" spans="1:22" ht="9.9499999999999993" customHeight="1">
      <c r="A41" s="63"/>
      <c r="B41" s="81"/>
      <c r="C41" s="82"/>
      <c r="D41" s="83"/>
      <c r="E41" s="83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5"/>
    </row>
    <row r="42" spans="1:22" ht="20.100000000000001" customHeight="1">
      <c r="B42" s="94"/>
      <c r="C42" s="83"/>
      <c r="D42" s="83"/>
      <c r="E42" s="69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 spans="1:22" ht="237" customHeight="1"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9"/>
    </row>
  </sheetData>
  <phoneticPr fontId="6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6E5A-A723-44AF-8741-8C3F9C5F590C}">
  <dimension ref="A5:AI93"/>
  <sheetViews>
    <sheetView zoomScaleNormal="100" workbookViewId="0">
      <selection activeCell="G7" sqref="G7"/>
    </sheetView>
  </sheetViews>
  <sheetFormatPr defaultRowHeight="13.5"/>
  <cols>
    <col min="1" max="9" width="9" style="100"/>
    <col min="10" max="10" width="11" style="100" customWidth="1"/>
    <col min="11" max="11" width="9" style="100"/>
    <col min="12" max="12" width="11.625" style="100" bestFit="1" customWidth="1"/>
    <col min="13" max="13" width="9" style="100"/>
    <col min="14" max="15" width="17.25" style="100" bestFit="1" customWidth="1"/>
    <col min="16" max="16" width="18.375" style="100" bestFit="1" customWidth="1"/>
    <col min="17" max="17" width="11.75" style="100" customWidth="1"/>
    <col min="18" max="16384" width="9" style="100"/>
  </cols>
  <sheetData>
    <row r="5" spans="2:19">
      <c r="B5" s="101" t="s">
        <v>554</v>
      </c>
    </row>
    <row r="6" spans="2:19">
      <c r="B6" s="102" t="s">
        <v>293</v>
      </c>
      <c r="C6" s="102" t="s">
        <v>294</v>
      </c>
      <c r="D6" s="102" t="s">
        <v>295</v>
      </c>
      <c r="E6" s="102" t="s">
        <v>296</v>
      </c>
      <c r="F6" s="102" t="s">
        <v>297</v>
      </c>
      <c r="G6" s="102" t="s">
        <v>298</v>
      </c>
      <c r="H6" s="119" t="s">
        <v>387</v>
      </c>
      <c r="I6" s="126" t="s">
        <v>388</v>
      </c>
      <c r="J6" s="126" t="s">
        <v>304</v>
      </c>
      <c r="K6" s="126" t="s">
        <v>389</v>
      </c>
      <c r="L6" s="126" t="s">
        <v>390</v>
      </c>
      <c r="M6" s="126" t="s">
        <v>391</v>
      </c>
      <c r="N6" s="119" t="s">
        <v>392</v>
      </c>
      <c r="O6" s="119" t="s">
        <v>393</v>
      </c>
      <c r="P6" s="102" t="s">
        <v>394</v>
      </c>
      <c r="Q6" s="102" t="s">
        <v>395</v>
      </c>
      <c r="R6" s="102" t="s">
        <v>396</v>
      </c>
      <c r="S6" s="102" t="s">
        <v>397</v>
      </c>
    </row>
    <row r="7" spans="2:19">
      <c r="B7" s="102" t="s">
        <v>308</v>
      </c>
      <c r="C7" s="102" t="s">
        <v>309</v>
      </c>
      <c r="D7" s="102" t="s">
        <v>310</v>
      </c>
      <c r="E7" s="102" t="s">
        <v>311</v>
      </c>
      <c r="F7" s="102" t="s">
        <v>312</v>
      </c>
      <c r="G7" s="102" t="s">
        <v>313</v>
      </c>
      <c r="H7" s="119" t="s">
        <v>398</v>
      </c>
      <c r="I7" s="119" t="s">
        <v>399</v>
      </c>
      <c r="J7" s="119" t="s">
        <v>319</v>
      </c>
      <c r="K7" s="119" t="s">
        <v>400</v>
      </c>
      <c r="L7" s="119" t="s">
        <v>401</v>
      </c>
      <c r="M7" s="119" t="s">
        <v>402</v>
      </c>
      <c r="N7" s="119" t="s">
        <v>403</v>
      </c>
      <c r="O7" s="119" t="s">
        <v>404</v>
      </c>
      <c r="P7" s="102" t="s">
        <v>405</v>
      </c>
      <c r="Q7" s="102" t="s">
        <v>406</v>
      </c>
      <c r="R7" s="102" t="s">
        <v>407</v>
      </c>
      <c r="S7" s="102" t="s">
        <v>408</v>
      </c>
    </row>
    <row r="8" spans="2:19">
      <c r="B8" s="102" t="s">
        <v>323</v>
      </c>
      <c r="C8" s="102" t="s">
        <v>324</v>
      </c>
      <c r="D8" s="102" t="s">
        <v>325</v>
      </c>
      <c r="E8" s="102" t="s">
        <v>326</v>
      </c>
      <c r="F8" s="102" t="s">
        <v>326</v>
      </c>
      <c r="G8" s="102" t="s">
        <v>327</v>
      </c>
      <c r="H8" s="119" t="s">
        <v>409</v>
      </c>
      <c r="I8" s="119" t="s">
        <v>409</v>
      </c>
      <c r="J8" s="119" t="s">
        <v>327</v>
      </c>
      <c r="K8" s="119" t="s">
        <v>327</v>
      </c>
      <c r="L8" s="119" t="s">
        <v>327</v>
      </c>
      <c r="M8" s="119" t="s">
        <v>327</v>
      </c>
      <c r="N8" s="119" t="s">
        <v>327</v>
      </c>
      <c r="O8" s="119" t="s">
        <v>327</v>
      </c>
      <c r="P8" s="102" t="s">
        <v>409</v>
      </c>
      <c r="Q8" s="102" t="s">
        <v>409</v>
      </c>
      <c r="R8" s="102" t="s">
        <v>409</v>
      </c>
      <c r="S8" s="102" t="s">
        <v>409</v>
      </c>
    </row>
    <row r="9" spans="2:19">
      <c r="B9" s="102" t="s">
        <v>328</v>
      </c>
      <c r="C9" s="102">
        <v>1</v>
      </c>
      <c r="D9" s="102"/>
      <c r="E9" s="102"/>
      <c r="F9" s="102"/>
      <c r="G9" s="102">
        <v>8</v>
      </c>
      <c r="H9" s="119">
        <v>4</v>
      </c>
      <c r="I9" s="119">
        <v>6</v>
      </c>
      <c r="J9" s="119">
        <v>2</v>
      </c>
      <c r="K9" s="119">
        <v>6</v>
      </c>
      <c r="L9" s="119">
        <v>4</v>
      </c>
      <c r="M9" s="119">
        <v>2</v>
      </c>
      <c r="N9" s="119">
        <v>2</v>
      </c>
      <c r="O9" s="119">
        <v>4</v>
      </c>
      <c r="P9" s="102">
        <v>13</v>
      </c>
      <c r="Q9" s="102">
        <v>13</v>
      </c>
      <c r="R9" s="102">
        <v>13</v>
      </c>
      <c r="S9" s="102">
        <v>13</v>
      </c>
    </row>
    <row r="10" spans="2:19">
      <c r="B10" s="102" t="s">
        <v>329</v>
      </c>
      <c r="C10" s="102"/>
      <c r="D10" s="102"/>
      <c r="E10" s="102"/>
      <c r="F10" s="102"/>
      <c r="G10" s="102"/>
      <c r="H10" s="119"/>
      <c r="I10" s="119"/>
      <c r="J10" s="119"/>
      <c r="K10" s="119"/>
      <c r="L10" s="119"/>
      <c r="M10" s="119"/>
      <c r="N10" s="119"/>
      <c r="O10" s="119"/>
      <c r="P10" s="102"/>
      <c r="Q10" s="102"/>
      <c r="R10" s="102"/>
      <c r="S10" s="102"/>
    </row>
    <row r="11" spans="2:19">
      <c r="B11" s="102" t="s">
        <v>330</v>
      </c>
      <c r="C11" s="102"/>
      <c r="D11" s="102"/>
      <c r="E11" s="102"/>
      <c r="F11" s="102"/>
      <c r="G11" s="102"/>
      <c r="H11" s="119"/>
      <c r="I11" s="119"/>
      <c r="J11" s="119"/>
      <c r="K11" s="119"/>
      <c r="L11" s="119"/>
      <c r="M11" s="119"/>
      <c r="N11" s="119"/>
      <c r="O11" s="119"/>
      <c r="P11" s="102"/>
      <c r="Q11" s="102"/>
      <c r="R11" s="102"/>
      <c r="S11" s="102"/>
    </row>
    <row r="12" spans="2:19">
      <c r="B12" s="102" t="s">
        <v>331</v>
      </c>
      <c r="C12" s="102"/>
      <c r="D12" s="102"/>
      <c r="E12" s="102"/>
      <c r="F12" s="102"/>
      <c r="G12" s="102"/>
      <c r="H12" s="119">
        <v>1</v>
      </c>
      <c r="I12" s="119">
        <v>2</v>
      </c>
      <c r="J12" s="119">
        <v>3</v>
      </c>
      <c r="K12" s="119">
        <v>4</v>
      </c>
      <c r="L12" s="119">
        <v>5</v>
      </c>
      <c r="M12" s="119">
        <v>6</v>
      </c>
      <c r="N12" s="119">
        <v>7</v>
      </c>
      <c r="O12" s="119">
        <v>8</v>
      </c>
      <c r="P12" s="102"/>
      <c r="Q12" s="102"/>
      <c r="R12" s="102"/>
      <c r="S12" s="102"/>
    </row>
    <row r="13" spans="2:19">
      <c r="B13" s="102" t="s">
        <v>332</v>
      </c>
      <c r="C13" s="102">
        <v>0</v>
      </c>
      <c r="D13" s="102">
        <v>0</v>
      </c>
      <c r="E13" s="102"/>
      <c r="F13" s="102"/>
      <c r="G13" s="102"/>
      <c r="H13" s="119"/>
      <c r="I13" s="119"/>
      <c r="J13" s="119"/>
      <c r="K13" s="119"/>
      <c r="L13" s="119"/>
      <c r="M13" s="119"/>
      <c r="N13" s="119"/>
      <c r="O13" s="119"/>
      <c r="P13" s="102"/>
      <c r="Q13" s="102"/>
      <c r="R13" s="102"/>
      <c r="S13" s="102"/>
    </row>
    <row r="14" spans="2:19">
      <c r="B14" s="110" t="s">
        <v>333</v>
      </c>
      <c r="C14" s="110" t="s">
        <v>334</v>
      </c>
      <c r="D14" s="110" t="s">
        <v>334</v>
      </c>
      <c r="E14" s="110" t="s">
        <v>334</v>
      </c>
      <c r="F14" s="110" t="s">
        <v>334</v>
      </c>
      <c r="G14" s="110" t="s">
        <v>334</v>
      </c>
      <c r="H14" s="120" t="s">
        <v>334</v>
      </c>
      <c r="I14" s="120" t="s">
        <v>334</v>
      </c>
      <c r="J14" s="120" t="s">
        <v>334</v>
      </c>
      <c r="K14" s="120" t="s">
        <v>334</v>
      </c>
      <c r="L14" s="120" t="s">
        <v>334</v>
      </c>
      <c r="M14" s="120" t="s">
        <v>334</v>
      </c>
      <c r="N14" s="120"/>
      <c r="O14" s="120"/>
      <c r="P14" s="110"/>
      <c r="Q14" s="110"/>
      <c r="R14" s="110"/>
      <c r="S14" s="110"/>
    </row>
    <row r="15" spans="2:19">
      <c r="B15" s="108" t="s">
        <v>683</v>
      </c>
      <c r="C15" s="108" t="s">
        <v>81</v>
      </c>
      <c r="D15" s="108" t="s">
        <v>81</v>
      </c>
      <c r="E15" s="108" t="s">
        <v>542</v>
      </c>
      <c r="F15" s="108" t="s">
        <v>542</v>
      </c>
      <c r="G15" s="108" t="s">
        <v>543</v>
      </c>
      <c r="H15" s="108" t="s">
        <v>544</v>
      </c>
      <c r="I15" s="113" t="s">
        <v>598</v>
      </c>
      <c r="J15" s="113" t="s">
        <v>524</v>
      </c>
      <c r="K15" s="108" t="s">
        <v>546</v>
      </c>
      <c r="L15" s="108" t="s">
        <v>547</v>
      </c>
      <c r="M15" s="108" t="s">
        <v>524</v>
      </c>
      <c r="N15" s="108" t="s">
        <v>524</v>
      </c>
      <c r="O15" s="108" t="s">
        <v>548</v>
      </c>
      <c r="P15" s="108" t="s">
        <v>549</v>
      </c>
      <c r="Q15" s="108" t="s">
        <v>550</v>
      </c>
      <c r="R15" s="108" t="s">
        <v>551</v>
      </c>
      <c r="S15" s="108" t="s">
        <v>552</v>
      </c>
    </row>
    <row r="16" spans="2:19">
      <c r="B16" s="108" t="s">
        <v>342</v>
      </c>
      <c r="C16" s="108" t="s">
        <v>81</v>
      </c>
      <c r="D16" s="108" t="s">
        <v>81</v>
      </c>
      <c r="E16" s="108" t="s">
        <v>542</v>
      </c>
      <c r="F16" s="108" t="s">
        <v>542</v>
      </c>
      <c r="G16" s="108" t="s">
        <v>543</v>
      </c>
      <c r="H16" s="108" t="s">
        <v>544</v>
      </c>
      <c r="I16" s="113" t="s">
        <v>598</v>
      </c>
      <c r="J16" s="113" t="s">
        <v>524</v>
      </c>
      <c r="K16" s="108" t="s">
        <v>638</v>
      </c>
      <c r="L16" s="108" t="s">
        <v>547</v>
      </c>
      <c r="M16" s="108" t="s">
        <v>524</v>
      </c>
      <c r="N16" s="108" t="s">
        <v>635</v>
      </c>
      <c r="O16" s="108" t="s">
        <v>548</v>
      </c>
      <c r="P16" s="108" t="s">
        <v>549</v>
      </c>
      <c r="Q16" s="108" t="s">
        <v>550</v>
      </c>
      <c r="R16" s="108" t="s">
        <v>551</v>
      </c>
      <c r="S16" s="108" t="s">
        <v>552</v>
      </c>
    </row>
    <row r="17" spans="2:19">
      <c r="B17" s="108" t="s">
        <v>342</v>
      </c>
      <c r="C17" s="108" t="s">
        <v>81</v>
      </c>
      <c r="D17" s="108" t="s">
        <v>81</v>
      </c>
      <c r="E17" s="108" t="s">
        <v>542</v>
      </c>
      <c r="F17" s="108" t="s">
        <v>542</v>
      </c>
      <c r="G17" s="108" t="s">
        <v>543</v>
      </c>
      <c r="H17" s="108" t="s">
        <v>544</v>
      </c>
      <c r="I17" s="113" t="s">
        <v>598</v>
      </c>
      <c r="J17" s="113" t="s">
        <v>524</v>
      </c>
      <c r="K17" s="108" t="s">
        <v>546</v>
      </c>
      <c r="L17" s="108" t="s">
        <v>641</v>
      </c>
      <c r="M17" s="108" t="s">
        <v>600</v>
      </c>
      <c r="N17" s="108" t="s">
        <v>636</v>
      </c>
      <c r="O17" s="108" t="s">
        <v>548</v>
      </c>
      <c r="P17" s="108" t="s">
        <v>549</v>
      </c>
      <c r="Q17" s="108" t="s">
        <v>550</v>
      </c>
      <c r="R17" s="108" t="s">
        <v>551</v>
      </c>
      <c r="S17" s="108" t="s">
        <v>552</v>
      </c>
    </row>
    <row r="18" spans="2:19">
      <c r="B18" s="108" t="s">
        <v>342</v>
      </c>
      <c r="C18" s="108" t="s">
        <v>81</v>
      </c>
      <c r="D18" s="108" t="s">
        <v>81</v>
      </c>
      <c r="E18" s="108" t="s">
        <v>542</v>
      </c>
      <c r="F18" s="108" t="s">
        <v>542</v>
      </c>
      <c r="G18" s="108" t="s">
        <v>543</v>
      </c>
      <c r="H18" s="108" t="s">
        <v>544</v>
      </c>
      <c r="I18" s="113" t="s">
        <v>598</v>
      </c>
      <c r="J18" s="113" t="s">
        <v>524</v>
      </c>
      <c r="K18" s="108" t="s">
        <v>546</v>
      </c>
      <c r="L18" s="108" t="s">
        <v>547</v>
      </c>
      <c r="M18" s="108" t="s">
        <v>524</v>
      </c>
      <c r="N18" s="108" t="s">
        <v>637</v>
      </c>
      <c r="O18" s="108" t="s">
        <v>548</v>
      </c>
      <c r="P18" s="108" t="s">
        <v>549</v>
      </c>
      <c r="Q18" s="108" t="s">
        <v>550</v>
      </c>
      <c r="R18" s="108" t="s">
        <v>551</v>
      </c>
      <c r="S18" s="108" t="s">
        <v>552</v>
      </c>
    </row>
    <row r="19" spans="2:19">
      <c r="B19" s="108" t="s">
        <v>342</v>
      </c>
      <c r="C19" s="108" t="s">
        <v>81</v>
      </c>
      <c r="D19" s="108" t="s">
        <v>81</v>
      </c>
      <c r="E19" s="108" t="s">
        <v>542</v>
      </c>
      <c r="F19" s="108" t="s">
        <v>542</v>
      </c>
      <c r="G19" s="108" t="s">
        <v>543</v>
      </c>
      <c r="H19" s="108" t="s">
        <v>544</v>
      </c>
      <c r="I19" s="113" t="s">
        <v>598</v>
      </c>
      <c r="J19" s="113" t="s">
        <v>524</v>
      </c>
      <c r="K19" s="108" t="s">
        <v>546</v>
      </c>
      <c r="L19" s="108" t="s">
        <v>547</v>
      </c>
      <c r="M19" s="108" t="s">
        <v>524</v>
      </c>
      <c r="N19" s="108" t="s">
        <v>528</v>
      </c>
      <c r="O19" s="108" t="s">
        <v>548</v>
      </c>
      <c r="P19" s="108" t="s">
        <v>549</v>
      </c>
      <c r="Q19" s="108" t="s">
        <v>550</v>
      </c>
      <c r="R19" s="108" t="s">
        <v>551</v>
      </c>
      <c r="S19" s="108" t="s">
        <v>552</v>
      </c>
    </row>
    <row r="23" spans="2:19">
      <c r="B23" s="101" t="s">
        <v>594</v>
      </c>
      <c r="D23" s="101"/>
    </row>
    <row r="24" spans="2:19">
      <c r="B24" s="102" t="s">
        <v>267</v>
      </c>
      <c r="C24" s="102" t="s">
        <v>276</v>
      </c>
      <c r="D24" s="102" t="s">
        <v>279</v>
      </c>
      <c r="E24" s="102" t="s">
        <v>281</v>
      </c>
      <c r="F24" s="102" t="s">
        <v>283</v>
      </c>
      <c r="G24" s="102" t="s">
        <v>284</v>
      </c>
      <c r="H24" s="102" t="s">
        <v>286</v>
      </c>
      <c r="I24" s="102" t="s">
        <v>287</v>
      </c>
      <c r="J24" s="102" t="s">
        <v>288</v>
      </c>
      <c r="K24" s="102" t="s">
        <v>289</v>
      </c>
      <c r="L24" s="102" t="s">
        <v>290</v>
      </c>
      <c r="M24" s="102" t="s">
        <v>291</v>
      </c>
      <c r="N24" s="102" t="s">
        <v>243</v>
      </c>
      <c r="O24" s="109" t="s">
        <v>588</v>
      </c>
      <c r="P24" s="116" t="s">
        <v>590</v>
      </c>
      <c r="Q24" s="116" t="s">
        <v>592</v>
      </c>
      <c r="R24" s="116" t="s">
        <v>292</v>
      </c>
    </row>
    <row r="25" spans="2:19">
      <c r="B25" s="102" t="s">
        <v>268</v>
      </c>
      <c r="C25" s="102" t="s">
        <v>254</v>
      </c>
      <c r="D25" s="102" t="s">
        <v>255</v>
      </c>
      <c r="E25" s="102" t="s">
        <v>256</v>
      </c>
      <c r="F25" s="102" t="s">
        <v>257</v>
      </c>
      <c r="G25" s="102" t="s">
        <v>258</v>
      </c>
      <c r="H25" s="102" t="s">
        <v>259</v>
      </c>
      <c r="I25" s="102" t="s">
        <v>260</v>
      </c>
      <c r="J25" s="102" t="s">
        <v>261</v>
      </c>
      <c r="K25" s="102" t="s">
        <v>262</v>
      </c>
      <c r="L25" s="102" t="s">
        <v>263</v>
      </c>
      <c r="M25" s="102" t="s">
        <v>264</v>
      </c>
      <c r="N25" s="102" t="s">
        <v>265</v>
      </c>
      <c r="O25" s="109" t="s">
        <v>589</v>
      </c>
      <c r="P25" s="116" t="s">
        <v>591</v>
      </c>
      <c r="Q25" s="116" t="s">
        <v>593</v>
      </c>
      <c r="R25" s="116" t="s">
        <v>266</v>
      </c>
    </row>
    <row r="26" spans="2:19">
      <c r="B26" s="102" t="s">
        <v>269</v>
      </c>
      <c r="C26" s="102" t="s">
        <v>277</v>
      </c>
      <c r="D26" s="102" t="s">
        <v>280</v>
      </c>
      <c r="E26" s="102" t="s">
        <v>282</v>
      </c>
      <c r="F26" s="102" t="s">
        <v>282</v>
      </c>
      <c r="G26" s="102" t="s">
        <v>285</v>
      </c>
      <c r="H26" s="102" t="s">
        <v>282</v>
      </c>
      <c r="I26" s="102" t="s">
        <v>285</v>
      </c>
      <c r="J26" s="102" t="s">
        <v>282</v>
      </c>
      <c r="K26" s="102" t="s">
        <v>285</v>
      </c>
      <c r="L26" s="102" t="s">
        <v>285</v>
      </c>
      <c r="M26" s="102" t="s">
        <v>280</v>
      </c>
      <c r="N26" s="102" t="s">
        <v>280</v>
      </c>
      <c r="O26" s="109" t="s">
        <v>285</v>
      </c>
      <c r="P26" s="116" t="s">
        <v>285</v>
      </c>
      <c r="Q26" s="116" t="s">
        <v>285</v>
      </c>
      <c r="R26" s="116" t="s">
        <v>285</v>
      </c>
    </row>
    <row r="27" spans="2:19">
      <c r="B27" s="102" t="s">
        <v>270</v>
      </c>
      <c r="C27" s="102">
        <v>1</v>
      </c>
      <c r="D27" s="102"/>
      <c r="E27" s="102"/>
      <c r="F27" s="102"/>
      <c r="G27" s="102">
        <v>8</v>
      </c>
      <c r="H27" s="102"/>
      <c r="I27" s="102">
        <v>8</v>
      </c>
      <c r="J27" s="102"/>
      <c r="K27" s="102">
        <v>8</v>
      </c>
      <c r="L27" s="102">
        <v>2</v>
      </c>
      <c r="M27" s="102">
        <v>8</v>
      </c>
      <c r="N27" s="102">
        <v>8</v>
      </c>
      <c r="O27" s="109">
        <v>30</v>
      </c>
      <c r="P27" s="116">
        <v>1</v>
      </c>
      <c r="Q27" s="116">
        <v>2</v>
      </c>
      <c r="R27" s="116">
        <v>20</v>
      </c>
    </row>
    <row r="28" spans="2:19">
      <c r="B28" s="102" t="s">
        <v>271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>
        <v>0</v>
      </c>
      <c r="N28" s="102">
        <v>0</v>
      </c>
      <c r="O28" s="109"/>
      <c r="P28" s="116"/>
      <c r="Q28" s="116"/>
      <c r="R28" s="116"/>
    </row>
    <row r="29" spans="2:19">
      <c r="B29" s="102" t="s">
        <v>272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9"/>
      <c r="P29" s="116"/>
      <c r="Q29" s="116"/>
      <c r="R29" s="116"/>
    </row>
    <row r="30" spans="2:19">
      <c r="B30" s="102" t="s">
        <v>273</v>
      </c>
      <c r="C30" s="102"/>
      <c r="D30" s="102"/>
      <c r="E30" s="102"/>
      <c r="F30" s="102"/>
      <c r="G30" s="102"/>
      <c r="H30" s="102"/>
      <c r="I30" s="102"/>
      <c r="J30" s="102"/>
      <c r="K30" s="102"/>
      <c r="L30" s="102">
        <v>1</v>
      </c>
      <c r="M30" s="102">
        <v>2</v>
      </c>
      <c r="N30" s="102"/>
      <c r="O30" s="109"/>
      <c r="P30" s="116"/>
      <c r="Q30" s="116"/>
      <c r="R30" s="116"/>
    </row>
    <row r="31" spans="2:19">
      <c r="B31" s="102" t="s">
        <v>274</v>
      </c>
      <c r="C31" s="102">
        <v>0</v>
      </c>
      <c r="D31" s="102">
        <v>0</v>
      </c>
      <c r="E31" s="102"/>
      <c r="F31" s="102"/>
      <c r="G31" s="102"/>
      <c r="H31" s="102"/>
      <c r="I31" s="102"/>
      <c r="J31" s="102"/>
      <c r="K31" s="102"/>
      <c r="L31" s="102"/>
      <c r="M31" s="102"/>
      <c r="N31" s="102">
        <v>99991231</v>
      </c>
      <c r="O31" s="109"/>
      <c r="P31" s="116"/>
      <c r="Q31" s="116"/>
      <c r="R31" s="116"/>
    </row>
    <row r="32" spans="2:19">
      <c r="B32" s="110" t="s">
        <v>275</v>
      </c>
      <c r="C32" s="110" t="s">
        <v>278</v>
      </c>
      <c r="D32" s="110" t="s">
        <v>278</v>
      </c>
      <c r="E32" s="110" t="s">
        <v>278</v>
      </c>
      <c r="F32" s="110" t="s">
        <v>278</v>
      </c>
      <c r="G32" s="110" t="s">
        <v>278</v>
      </c>
      <c r="H32" s="110" t="s">
        <v>278</v>
      </c>
      <c r="I32" s="110" t="s">
        <v>278</v>
      </c>
      <c r="J32" s="110"/>
      <c r="K32" s="110"/>
      <c r="L32" s="110" t="s">
        <v>278</v>
      </c>
      <c r="M32" s="110" t="s">
        <v>278</v>
      </c>
      <c r="N32" s="110" t="s">
        <v>278</v>
      </c>
      <c r="O32" s="111" t="s">
        <v>278</v>
      </c>
      <c r="P32" s="116" t="s">
        <v>278</v>
      </c>
      <c r="Q32" s="116" t="s">
        <v>278</v>
      </c>
      <c r="R32" s="116"/>
    </row>
    <row r="33" spans="2:33">
      <c r="B33" s="108" t="s">
        <v>683</v>
      </c>
      <c r="C33" s="108" t="s">
        <v>81</v>
      </c>
      <c r="D33" s="108" t="s">
        <v>81</v>
      </c>
      <c r="E33" s="108" t="s">
        <v>249</v>
      </c>
      <c r="F33" s="108" t="s">
        <v>249</v>
      </c>
      <c r="G33" s="108" t="s">
        <v>250</v>
      </c>
      <c r="H33" s="108" t="s">
        <v>249</v>
      </c>
      <c r="I33" s="108" t="s">
        <v>251</v>
      </c>
      <c r="J33" s="108" t="s">
        <v>252</v>
      </c>
      <c r="K33" s="108" t="s">
        <v>253</v>
      </c>
      <c r="L33" s="108" t="s">
        <v>524</v>
      </c>
      <c r="M33" s="113">
        <v>20250404</v>
      </c>
      <c r="N33" s="113">
        <v>20261201</v>
      </c>
      <c r="O33" s="108" t="s">
        <v>596</v>
      </c>
      <c r="P33" s="108" t="s">
        <v>86</v>
      </c>
      <c r="Q33" s="108" t="s">
        <v>524</v>
      </c>
      <c r="R33" s="108" t="s">
        <v>595</v>
      </c>
    </row>
    <row r="38" spans="2:33">
      <c r="B38" s="101" t="s">
        <v>532</v>
      </c>
    </row>
    <row r="39" spans="2:33">
      <c r="B39" s="102" t="s">
        <v>267</v>
      </c>
      <c r="C39" s="102" t="s">
        <v>276</v>
      </c>
      <c r="D39" s="102" t="s">
        <v>279</v>
      </c>
      <c r="E39" s="102" t="s">
        <v>281</v>
      </c>
      <c r="F39" s="102" t="s">
        <v>283</v>
      </c>
      <c r="G39" s="102" t="s">
        <v>284</v>
      </c>
      <c r="H39" s="102" t="s">
        <v>286</v>
      </c>
      <c r="I39" s="102" t="s">
        <v>287</v>
      </c>
      <c r="J39" s="102" t="s">
        <v>288</v>
      </c>
      <c r="K39" s="102" t="s">
        <v>289</v>
      </c>
      <c r="L39" s="102" t="s">
        <v>384</v>
      </c>
      <c r="M39" s="102" t="s">
        <v>291</v>
      </c>
      <c r="N39" s="102" t="s">
        <v>243</v>
      </c>
      <c r="O39" s="102" t="s">
        <v>410</v>
      </c>
      <c r="P39" s="102" t="s">
        <v>412</v>
      </c>
      <c r="Q39" s="102" t="s">
        <v>414</v>
      </c>
      <c r="R39" s="102" t="s">
        <v>416</v>
      </c>
      <c r="S39" s="102" t="s">
        <v>418</v>
      </c>
      <c r="T39" s="102" t="s">
        <v>420</v>
      </c>
      <c r="U39" s="102" t="s">
        <v>422</v>
      </c>
      <c r="V39" s="102" t="s">
        <v>424</v>
      </c>
      <c r="W39" s="102" t="s">
        <v>426</v>
      </c>
      <c r="X39" s="102" t="s">
        <v>428</v>
      </c>
      <c r="Y39" s="102" t="s">
        <v>430</v>
      </c>
      <c r="Z39" s="102" t="s">
        <v>432</v>
      </c>
      <c r="AA39" s="102" t="s">
        <v>434</v>
      </c>
      <c r="AB39" s="102" t="s">
        <v>436</v>
      </c>
      <c r="AC39" s="102" t="s">
        <v>438</v>
      </c>
      <c r="AD39" s="102" t="s">
        <v>440</v>
      </c>
      <c r="AE39" s="102" t="s">
        <v>538</v>
      </c>
      <c r="AF39" s="102" t="s">
        <v>540</v>
      </c>
      <c r="AG39" s="102" t="s">
        <v>292</v>
      </c>
    </row>
    <row r="40" spans="2:33">
      <c r="B40" s="102" t="s">
        <v>268</v>
      </c>
      <c r="C40" s="102" t="s">
        <v>254</v>
      </c>
      <c r="D40" s="102" t="s">
        <v>255</v>
      </c>
      <c r="E40" s="102" t="s">
        <v>256</v>
      </c>
      <c r="F40" s="102" t="s">
        <v>257</v>
      </c>
      <c r="G40" s="102" t="s">
        <v>258</v>
      </c>
      <c r="H40" s="102" t="s">
        <v>259</v>
      </c>
      <c r="I40" s="102" t="s">
        <v>260</v>
      </c>
      <c r="J40" s="102" t="s">
        <v>261</v>
      </c>
      <c r="K40" s="102" t="s">
        <v>262</v>
      </c>
      <c r="L40" s="102" t="s">
        <v>385</v>
      </c>
      <c r="M40" s="102" t="s">
        <v>264</v>
      </c>
      <c r="N40" s="102" t="s">
        <v>265</v>
      </c>
      <c r="O40" s="102" t="s">
        <v>411</v>
      </c>
      <c r="P40" s="102" t="s">
        <v>413</v>
      </c>
      <c r="Q40" s="102" t="s">
        <v>415</v>
      </c>
      <c r="R40" s="102" t="s">
        <v>417</v>
      </c>
      <c r="S40" s="102" t="s">
        <v>419</v>
      </c>
      <c r="T40" s="102" t="s">
        <v>421</v>
      </c>
      <c r="U40" s="102" t="s">
        <v>423</v>
      </c>
      <c r="V40" s="102" t="s">
        <v>425</v>
      </c>
      <c r="W40" s="102" t="s">
        <v>427</v>
      </c>
      <c r="X40" s="102" t="s">
        <v>429</v>
      </c>
      <c r="Y40" s="102" t="s">
        <v>431</v>
      </c>
      <c r="Z40" s="102" t="s">
        <v>433</v>
      </c>
      <c r="AA40" s="102" t="s">
        <v>435</v>
      </c>
      <c r="AB40" s="102" t="s">
        <v>437</v>
      </c>
      <c r="AC40" s="102" t="s">
        <v>439</v>
      </c>
      <c r="AD40" s="102" t="s">
        <v>441</v>
      </c>
      <c r="AE40" s="102" t="s">
        <v>539</v>
      </c>
      <c r="AF40" s="102" t="s">
        <v>541</v>
      </c>
      <c r="AG40" s="102" t="s">
        <v>266</v>
      </c>
    </row>
    <row r="41" spans="2:33">
      <c r="B41" s="102" t="s">
        <v>269</v>
      </c>
      <c r="C41" s="102" t="s">
        <v>277</v>
      </c>
      <c r="D41" s="102" t="s">
        <v>280</v>
      </c>
      <c r="E41" s="102" t="s">
        <v>282</v>
      </c>
      <c r="F41" s="102" t="s">
        <v>282</v>
      </c>
      <c r="G41" s="102" t="s">
        <v>285</v>
      </c>
      <c r="H41" s="102" t="s">
        <v>282</v>
      </c>
      <c r="I41" s="102" t="s">
        <v>285</v>
      </c>
      <c r="J41" s="102" t="s">
        <v>282</v>
      </c>
      <c r="K41" s="102" t="s">
        <v>285</v>
      </c>
      <c r="L41" s="102" t="s">
        <v>285</v>
      </c>
      <c r="M41" s="102" t="s">
        <v>280</v>
      </c>
      <c r="N41" s="102" t="s">
        <v>280</v>
      </c>
      <c r="O41" s="102" t="s">
        <v>285</v>
      </c>
      <c r="P41" s="102" t="s">
        <v>285</v>
      </c>
      <c r="Q41" s="102" t="s">
        <v>285</v>
      </c>
      <c r="R41" s="102" t="s">
        <v>285</v>
      </c>
      <c r="S41" s="102" t="s">
        <v>285</v>
      </c>
      <c r="T41" s="102" t="s">
        <v>285</v>
      </c>
      <c r="U41" s="102" t="s">
        <v>285</v>
      </c>
      <c r="V41" s="102" t="s">
        <v>382</v>
      </c>
      <c r="W41" s="102" t="s">
        <v>285</v>
      </c>
      <c r="X41" s="102" t="s">
        <v>285</v>
      </c>
      <c r="Y41" s="102" t="s">
        <v>285</v>
      </c>
      <c r="Z41" s="102" t="s">
        <v>285</v>
      </c>
      <c r="AA41" s="102" t="s">
        <v>285</v>
      </c>
      <c r="AB41" s="102" t="s">
        <v>285</v>
      </c>
      <c r="AC41" s="102" t="s">
        <v>285</v>
      </c>
      <c r="AD41" s="102" t="s">
        <v>285</v>
      </c>
      <c r="AE41" s="102" t="s">
        <v>285</v>
      </c>
      <c r="AF41" s="102" t="s">
        <v>285</v>
      </c>
      <c r="AG41" s="102" t="s">
        <v>285</v>
      </c>
    </row>
    <row r="42" spans="2:33">
      <c r="B42" s="102" t="s">
        <v>270</v>
      </c>
      <c r="C42" s="102">
        <v>1</v>
      </c>
      <c r="D42" s="102"/>
      <c r="E42" s="102"/>
      <c r="F42" s="102"/>
      <c r="G42" s="102">
        <v>8</v>
      </c>
      <c r="H42" s="102"/>
      <c r="I42" s="102">
        <v>8</v>
      </c>
      <c r="J42" s="102"/>
      <c r="K42" s="102">
        <v>8</v>
      </c>
      <c r="L42" s="102">
        <v>6</v>
      </c>
      <c r="M42" s="102">
        <v>8</v>
      </c>
      <c r="N42" s="102">
        <v>8</v>
      </c>
      <c r="O42" s="102">
        <v>150</v>
      </c>
      <c r="P42" s="102">
        <v>60</v>
      </c>
      <c r="Q42" s="102">
        <v>1</v>
      </c>
      <c r="R42" s="102">
        <v>18</v>
      </c>
      <c r="S42" s="102">
        <v>3</v>
      </c>
      <c r="T42" s="102">
        <v>2</v>
      </c>
      <c r="U42" s="102">
        <v>2</v>
      </c>
      <c r="V42" s="102">
        <v>8</v>
      </c>
      <c r="W42" s="102">
        <v>2</v>
      </c>
      <c r="X42" s="102">
        <v>1</v>
      </c>
      <c r="Y42" s="102">
        <v>1</v>
      </c>
      <c r="Z42" s="102">
        <v>2</v>
      </c>
      <c r="AA42" s="102">
        <v>2</v>
      </c>
      <c r="AB42" s="102">
        <v>3</v>
      </c>
      <c r="AC42" s="102">
        <v>6</v>
      </c>
      <c r="AD42" s="102">
        <v>6</v>
      </c>
      <c r="AE42" s="102">
        <v>3</v>
      </c>
      <c r="AF42" s="102">
        <v>1</v>
      </c>
      <c r="AG42" s="102">
        <v>20</v>
      </c>
    </row>
    <row r="43" spans="2:33">
      <c r="B43" s="102" t="s">
        <v>271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>
        <v>0</v>
      </c>
      <c r="N43" s="102">
        <v>0</v>
      </c>
      <c r="O43" s="102"/>
      <c r="P43" s="102"/>
      <c r="Q43" s="102"/>
      <c r="R43" s="102"/>
      <c r="S43" s="102"/>
      <c r="T43" s="102"/>
      <c r="U43" s="102"/>
      <c r="V43" s="102">
        <v>3</v>
      </c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</row>
    <row r="44" spans="2:33">
      <c r="B44" s="102" t="s">
        <v>272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</row>
    <row r="45" spans="2:33">
      <c r="B45" s="102" t="s">
        <v>273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>
        <v>1</v>
      </c>
      <c r="M45" s="102">
        <v>2</v>
      </c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</row>
    <row r="46" spans="2:33">
      <c r="B46" s="102" t="s">
        <v>274</v>
      </c>
      <c r="C46" s="102">
        <v>0</v>
      </c>
      <c r="D46" s="102">
        <v>0</v>
      </c>
      <c r="E46" s="102"/>
      <c r="F46" s="102"/>
      <c r="G46" s="102"/>
      <c r="H46" s="102"/>
      <c r="I46" s="102"/>
      <c r="J46" s="102"/>
      <c r="K46" s="102"/>
      <c r="L46" s="102"/>
      <c r="M46" s="102"/>
      <c r="N46" s="102">
        <v>99991231</v>
      </c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 spans="2:33">
      <c r="B47" s="110" t="s">
        <v>275</v>
      </c>
      <c r="C47" s="110" t="s">
        <v>278</v>
      </c>
      <c r="D47" s="110" t="s">
        <v>278</v>
      </c>
      <c r="E47" s="110" t="s">
        <v>278</v>
      </c>
      <c r="F47" s="110" t="s">
        <v>278</v>
      </c>
      <c r="G47" s="110" t="s">
        <v>278</v>
      </c>
      <c r="H47" s="110" t="s">
        <v>278</v>
      </c>
      <c r="I47" s="110" t="s">
        <v>278</v>
      </c>
      <c r="J47" s="110"/>
      <c r="K47" s="110"/>
      <c r="L47" s="110" t="s">
        <v>278</v>
      </c>
      <c r="M47" s="110" t="s">
        <v>278</v>
      </c>
      <c r="N47" s="110" t="s">
        <v>278</v>
      </c>
      <c r="O47" s="110" t="s">
        <v>278</v>
      </c>
      <c r="P47" s="110" t="s">
        <v>278</v>
      </c>
      <c r="Q47" s="110" t="s">
        <v>278</v>
      </c>
      <c r="R47" s="110" t="s">
        <v>278</v>
      </c>
      <c r="S47" s="110" t="s">
        <v>278</v>
      </c>
      <c r="T47" s="110" t="s">
        <v>278</v>
      </c>
      <c r="U47" s="110" t="s">
        <v>278</v>
      </c>
      <c r="V47" s="110" t="s">
        <v>278</v>
      </c>
      <c r="W47" s="110" t="s">
        <v>278</v>
      </c>
      <c r="X47" s="110" t="s">
        <v>278</v>
      </c>
      <c r="Y47" s="110" t="s">
        <v>278</v>
      </c>
      <c r="Z47" s="110" t="s">
        <v>278</v>
      </c>
      <c r="AA47" s="110" t="s">
        <v>278</v>
      </c>
      <c r="AB47" s="110" t="s">
        <v>278</v>
      </c>
      <c r="AC47" s="110" t="s">
        <v>278</v>
      </c>
      <c r="AD47" s="110" t="s">
        <v>278</v>
      </c>
      <c r="AE47" s="110" t="s">
        <v>278</v>
      </c>
      <c r="AF47" s="110" t="s">
        <v>278</v>
      </c>
      <c r="AG47" s="110" t="s">
        <v>278</v>
      </c>
    </row>
    <row r="48" spans="2:33">
      <c r="B48" s="108" t="s">
        <v>683</v>
      </c>
      <c r="C48" s="108" t="s">
        <v>81</v>
      </c>
      <c r="D48" s="108" t="s">
        <v>81</v>
      </c>
      <c r="E48" s="108" t="s">
        <v>249</v>
      </c>
      <c r="F48" s="108" t="s">
        <v>249</v>
      </c>
      <c r="G48" s="108" t="s">
        <v>250</v>
      </c>
      <c r="H48" s="108" t="s">
        <v>249</v>
      </c>
      <c r="I48" s="108" t="s">
        <v>251</v>
      </c>
      <c r="J48" s="108" t="s">
        <v>252</v>
      </c>
      <c r="K48" s="108" t="s">
        <v>253</v>
      </c>
      <c r="L48" s="108" t="s">
        <v>546</v>
      </c>
      <c r="M48" s="113">
        <v>20250404</v>
      </c>
      <c r="N48" s="118">
        <v>20261201</v>
      </c>
      <c r="O48" s="108" t="s">
        <v>516</v>
      </c>
      <c r="P48" s="108" t="s">
        <v>517</v>
      </c>
      <c r="Q48" s="108" t="s">
        <v>86</v>
      </c>
      <c r="R48" s="108" t="s">
        <v>518</v>
      </c>
      <c r="S48" s="108" t="s">
        <v>522</v>
      </c>
      <c r="T48" s="108" t="s">
        <v>523</v>
      </c>
      <c r="U48" s="108" t="s">
        <v>523</v>
      </c>
      <c r="V48" s="108" t="s">
        <v>86</v>
      </c>
      <c r="W48" s="108" t="s">
        <v>523</v>
      </c>
      <c r="X48" s="108" t="s">
        <v>86</v>
      </c>
      <c r="Y48" s="108" t="s">
        <v>86</v>
      </c>
      <c r="Z48" s="108" t="s">
        <v>524</v>
      </c>
      <c r="AA48" s="108" t="s">
        <v>525</v>
      </c>
      <c r="AB48" s="108" t="s">
        <v>526</v>
      </c>
      <c r="AC48" s="108" t="s">
        <v>521</v>
      </c>
      <c r="AD48" s="108" t="s">
        <v>527</v>
      </c>
      <c r="AE48" s="108" t="s">
        <v>519</v>
      </c>
      <c r="AF48" s="108" t="s">
        <v>86</v>
      </c>
      <c r="AG48" s="108" t="s">
        <v>520</v>
      </c>
    </row>
    <row r="49" spans="1:33">
      <c r="A49" s="100" t="s">
        <v>639</v>
      </c>
      <c r="B49" s="108" t="s">
        <v>342</v>
      </c>
      <c r="C49" s="108" t="s">
        <v>81</v>
      </c>
      <c r="D49" s="108" t="s">
        <v>81</v>
      </c>
      <c r="E49" s="108" t="s">
        <v>249</v>
      </c>
      <c r="F49" s="108" t="s">
        <v>249</v>
      </c>
      <c r="G49" s="108" t="s">
        <v>250</v>
      </c>
      <c r="H49" s="108" t="s">
        <v>249</v>
      </c>
      <c r="I49" s="108" t="s">
        <v>251</v>
      </c>
      <c r="J49" s="108" t="s">
        <v>252</v>
      </c>
      <c r="K49" s="108" t="s">
        <v>253</v>
      </c>
      <c r="L49" s="108" t="s">
        <v>638</v>
      </c>
      <c r="M49" s="113">
        <v>20250404</v>
      </c>
      <c r="N49" s="118">
        <v>20261201</v>
      </c>
      <c r="O49" s="108" t="s">
        <v>516</v>
      </c>
      <c r="P49" s="108" t="s">
        <v>517</v>
      </c>
      <c r="Q49" s="108" t="s">
        <v>86</v>
      </c>
      <c r="R49" s="108" t="s">
        <v>518</v>
      </c>
      <c r="S49" s="108" t="s">
        <v>522</v>
      </c>
      <c r="T49" s="108" t="s">
        <v>523</v>
      </c>
      <c r="U49" s="108" t="s">
        <v>523</v>
      </c>
      <c r="V49" s="108" t="s">
        <v>86</v>
      </c>
      <c r="W49" s="108" t="s">
        <v>523</v>
      </c>
      <c r="X49" s="108" t="s">
        <v>86</v>
      </c>
      <c r="Y49" s="108" t="s">
        <v>86</v>
      </c>
      <c r="Z49" s="108" t="s">
        <v>524</v>
      </c>
      <c r="AA49" s="108" t="s">
        <v>525</v>
      </c>
      <c r="AB49" s="108" t="s">
        <v>526</v>
      </c>
      <c r="AC49" s="108" t="s">
        <v>521</v>
      </c>
      <c r="AD49" s="108" t="s">
        <v>527</v>
      </c>
      <c r="AE49" s="108" t="s">
        <v>519</v>
      </c>
      <c r="AF49" s="108" t="s">
        <v>86</v>
      </c>
      <c r="AG49" s="108" t="s">
        <v>520</v>
      </c>
    </row>
    <row r="53" spans="1:33">
      <c r="B53" s="101" t="s">
        <v>531</v>
      </c>
    </row>
    <row r="54" spans="1:33">
      <c r="B54" s="102" t="s">
        <v>267</v>
      </c>
      <c r="C54" s="102" t="s">
        <v>276</v>
      </c>
      <c r="D54" s="102" t="s">
        <v>279</v>
      </c>
      <c r="E54" s="102" t="s">
        <v>281</v>
      </c>
      <c r="F54" s="102" t="s">
        <v>283</v>
      </c>
      <c r="G54" s="102" t="s">
        <v>284</v>
      </c>
      <c r="H54" s="102" t="s">
        <v>286</v>
      </c>
      <c r="I54" s="102" t="s">
        <v>287</v>
      </c>
      <c r="J54" s="102" t="s">
        <v>288</v>
      </c>
      <c r="K54" s="102" t="s">
        <v>289</v>
      </c>
      <c r="L54" s="102" t="s">
        <v>436</v>
      </c>
      <c r="M54" s="102" t="s">
        <v>291</v>
      </c>
      <c r="N54" s="102" t="s">
        <v>243</v>
      </c>
      <c r="O54" s="102" t="s">
        <v>444</v>
      </c>
      <c r="P54" s="102" t="s">
        <v>446</v>
      </c>
      <c r="Q54" s="102" t="s">
        <v>292</v>
      </c>
    </row>
    <row r="55" spans="1:33">
      <c r="B55" s="102" t="s">
        <v>268</v>
      </c>
      <c r="C55" s="102" t="s">
        <v>254</v>
      </c>
      <c r="D55" s="102" t="s">
        <v>255</v>
      </c>
      <c r="E55" s="102" t="s">
        <v>256</v>
      </c>
      <c r="F55" s="102" t="s">
        <v>257</v>
      </c>
      <c r="G55" s="102" t="s">
        <v>258</v>
      </c>
      <c r="H55" s="102" t="s">
        <v>259</v>
      </c>
      <c r="I55" s="102" t="s">
        <v>260</v>
      </c>
      <c r="J55" s="102" t="s">
        <v>261</v>
      </c>
      <c r="K55" s="102" t="s">
        <v>262</v>
      </c>
      <c r="L55" s="102" t="s">
        <v>437</v>
      </c>
      <c r="M55" s="102" t="s">
        <v>264</v>
      </c>
      <c r="N55" s="102" t="s">
        <v>265</v>
      </c>
      <c r="O55" s="102" t="s">
        <v>445</v>
      </c>
      <c r="P55" s="102" t="s">
        <v>447</v>
      </c>
      <c r="Q55" s="102" t="s">
        <v>266</v>
      </c>
    </row>
    <row r="56" spans="1:33">
      <c r="B56" s="102" t="s">
        <v>269</v>
      </c>
      <c r="C56" s="102" t="s">
        <v>277</v>
      </c>
      <c r="D56" s="102" t="s">
        <v>280</v>
      </c>
      <c r="E56" s="102" t="s">
        <v>282</v>
      </c>
      <c r="F56" s="102" t="s">
        <v>282</v>
      </c>
      <c r="G56" s="102" t="s">
        <v>285</v>
      </c>
      <c r="H56" s="102" t="s">
        <v>282</v>
      </c>
      <c r="I56" s="102" t="s">
        <v>285</v>
      </c>
      <c r="J56" s="102" t="s">
        <v>282</v>
      </c>
      <c r="K56" s="102" t="s">
        <v>285</v>
      </c>
      <c r="L56" s="102" t="s">
        <v>285</v>
      </c>
      <c r="M56" s="102" t="s">
        <v>280</v>
      </c>
      <c r="N56" s="102" t="s">
        <v>280</v>
      </c>
      <c r="O56" s="102" t="s">
        <v>285</v>
      </c>
      <c r="P56" s="102" t="s">
        <v>285</v>
      </c>
      <c r="Q56" s="102" t="s">
        <v>285</v>
      </c>
    </row>
    <row r="57" spans="1:33">
      <c r="B57" s="102" t="s">
        <v>270</v>
      </c>
      <c r="C57" s="102">
        <v>1</v>
      </c>
      <c r="D57" s="102"/>
      <c r="E57" s="102"/>
      <c r="F57" s="102"/>
      <c r="G57" s="102">
        <v>8</v>
      </c>
      <c r="H57" s="102"/>
      <c r="I57" s="102">
        <v>8</v>
      </c>
      <c r="J57" s="102"/>
      <c r="K57" s="102">
        <v>8</v>
      </c>
      <c r="L57" s="102">
        <v>3</v>
      </c>
      <c r="M57" s="102">
        <v>8</v>
      </c>
      <c r="N57" s="102">
        <v>8</v>
      </c>
      <c r="O57" s="102">
        <v>45</v>
      </c>
      <c r="P57" s="102">
        <v>3</v>
      </c>
      <c r="Q57" s="102">
        <v>20</v>
      </c>
    </row>
    <row r="58" spans="1:33">
      <c r="B58" s="102" t="s">
        <v>271</v>
      </c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>
        <v>0</v>
      </c>
      <c r="N58" s="102">
        <v>0</v>
      </c>
      <c r="O58" s="102"/>
      <c r="P58" s="102"/>
      <c r="Q58" s="102"/>
    </row>
    <row r="59" spans="1:33">
      <c r="B59" s="102" t="s">
        <v>272</v>
      </c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</row>
    <row r="60" spans="1:33">
      <c r="B60" s="102" t="s">
        <v>273</v>
      </c>
      <c r="C60" s="102"/>
      <c r="D60" s="102"/>
      <c r="E60" s="102"/>
      <c r="F60" s="102"/>
      <c r="G60" s="102"/>
      <c r="H60" s="102"/>
      <c r="I60" s="102"/>
      <c r="J60" s="102"/>
      <c r="K60" s="102"/>
      <c r="L60" s="102">
        <v>1</v>
      </c>
      <c r="M60" s="102">
        <v>2</v>
      </c>
      <c r="N60" s="102"/>
      <c r="O60" s="102"/>
      <c r="P60" s="102"/>
      <c r="Q60" s="102"/>
    </row>
    <row r="61" spans="1:33">
      <c r="B61" s="102" t="s">
        <v>274</v>
      </c>
      <c r="C61" s="102">
        <v>0</v>
      </c>
      <c r="D61" s="102">
        <v>0</v>
      </c>
      <c r="E61" s="102"/>
      <c r="F61" s="102"/>
      <c r="G61" s="102"/>
      <c r="H61" s="102"/>
      <c r="I61" s="102"/>
      <c r="J61" s="102"/>
      <c r="K61" s="102"/>
      <c r="L61" s="102"/>
      <c r="M61" s="102"/>
      <c r="N61" s="102">
        <v>99991231</v>
      </c>
      <c r="O61" s="102"/>
      <c r="P61" s="102"/>
      <c r="Q61" s="102"/>
    </row>
    <row r="62" spans="1:33">
      <c r="B62" s="110" t="s">
        <v>275</v>
      </c>
      <c r="C62" s="110" t="s">
        <v>278</v>
      </c>
      <c r="D62" s="110" t="s">
        <v>278</v>
      </c>
      <c r="E62" s="110" t="s">
        <v>278</v>
      </c>
      <c r="F62" s="110" t="s">
        <v>278</v>
      </c>
      <c r="G62" s="110" t="s">
        <v>278</v>
      </c>
      <c r="H62" s="110" t="s">
        <v>278</v>
      </c>
      <c r="I62" s="110" t="s">
        <v>278</v>
      </c>
      <c r="J62" s="110"/>
      <c r="K62" s="110"/>
      <c r="L62" s="110" t="s">
        <v>278</v>
      </c>
      <c r="M62" s="110" t="s">
        <v>278</v>
      </c>
      <c r="N62" s="110" t="s">
        <v>278</v>
      </c>
      <c r="O62" s="110" t="s">
        <v>278</v>
      </c>
      <c r="P62" s="110" t="s">
        <v>278</v>
      </c>
      <c r="Q62" s="110" t="s">
        <v>278</v>
      </c>
    </row>
    <row r="63" spans="1:33">
      <c r="B63" s="108" t="s">
        <v>683</v>
      </c>
      <c r="C63" s="108" t="s">
        <v>81</v>
      </c>
      <c r="D63" s="108" t="s">
        <v>81</v>
      </c>
      <c r="E63" s="108" t="s">
        <v>249</v>
      </c>
      <c r="F63" s="108" t="s">
        <v>249</v>
      </c>
      <c r="G63" s="108" t="s">
        <v>250</v>
      </c>
      <c r="H63" s="108" t="s">
        <v>249</v>
      </c>
      <c r="I63" s="108" t="s">
        <v>251</v>
      </c>
      <c r="J63" s="108" t="s">
        <v>252</v>
      </c>
      <c r="K63" s="108" t="s">
        <v>253</v>
      </c>
      <c r="L63" s="108" t="s">
        <v>526</v>
      </c>
      <c r="M63" s="113">
        <v>20250404</v>
      </c>
      <c r="N63" s="118">
        <v>20261201</v>
      </c>
      <c r="O63" s="108" t="s">
        <v>529</v>
      </c>
      <c r="P63" s="108" t="s">
        <v>526</v>
      </c>
      <c r="Q63" s="108" t="s">
        <v>530</v>
      </c>
    </row>
    <row r="69" spans="2:18">
      <c r="B69" s="101" t="s">
        <v>581</v>
      </c>
    </row>
    <row r="70" spans="2:18">
      <c r="B70" s="102" t="s">
        <v>267</v>
      </c>
      <c r="C70" s="102" t="s">
        <v>276</v>
      </c>
      <c r="D70" s="102" t="s">
        <v>279</v>
      </c>
      <c r="E70" s="102" t="s">
        <v>281</v>
      </c>
      <c r="F70" s="102" t="s">
        <v>283</v>
      </c>
      <c r="G70" s="102" t="s">
        <v>284</v>
      </c>
      <c r="H70" s="102" t="s">
        <v>286</v>
      </c>
      <c r="I70" s="102" t="s">
        <v>287</v>
      </c>
      <c r="J70" s="102" t="s">
        <v>288</v>
      </c>
      <c r="K70" s="102" t="s">
        <v>289</v>
      </c>
      <c r="L70" s="102" t="s">
        <v>446</v>
      </c>
      <c r="M70" s="102" t="s">
        <v>291</v>
      </c>
      <c r="N70" s="102" t="s">
        <v>243</v>
      </c>
      <c r="O70" s="102" t="s">
        <v>559</v>
      </c>
      <c r="P70" s="102" t="s">
        <v>561</v>
      </c>
      <c r="Q70" s="102" t="s">
        <v>290</v>
      </c>
      <c r="R70" s="102" t="s">
        <v>292</v>
      </c>
    </row>
    <row r="71" spans="2:18">
      <c r="B71" s="102" t="s">
        <v>268</v>
      </c>
      <c r="C71" s="102" t="s">
        <v>254</v>
      </c>
      <c r="D71" s="102" t="s">
        <v>255</v>
      </c>
      <c r="E71" s="102" t="s">
        <v>256</v>
      </c>
      <c r="F71" s="102" t="s">
        <v>257</v>
      </c>
      <c r="G71" s="102" t="s">
        <v>258</v>
      </c>
      <c r="H71" s="102" t="s">
        <v>259</v>
      </c>
      <c r="I71" s="102" t="s">
        <v>260</v>
      </c>
      <c r="J71" s="102" t="s">
        <v>261</v>
      </c>
      <c r="K71" s="102" t="s">
        <v>262</v>
      </c>
      <c r="L71" s="102" t="s">
        <v>447</v>
      </c>
      <c r="M71" s="102" t="s">
        <v>264</v>
      </c>
      <c r="N71" s="102" t="s">
        <v>265</v>
      </c>
      <c r="O71" s="102" t="s">
        <v>560</v>
      </c>
      <c r="P71" s="102" t="s">
        <v>562</v>
      </c>
      <c r="Q71" s="102" t="s">
        <v>263</v>
      </c>
      <c r="R71" s="102" t="s">
        <v>266</v>
      </c>
    </row>
    <row r="72" spans="2:18">
      <c r="B72" s="102" t="s">
        <v>269</v>
      </c>
      <c r="C72" s="102" t="s">
        <v>277</v>
      </c>
      <c r="D72" s="102" t="s">
        <v>280</v>
      </c>
      <c r="E72" s="102" t="s">
        <v>282</v>
      </c>
      <c r="F72" s="102" t="s">
        <v>282</v>
      </c>
      <c r="G72" s="102" t="s">
        <v>285</v>
      </c>
      <c r="H72" s="102" t="s">
        <v>282</v>
      </c>
      <c r="I72" s="102" t="s">
        <v>285</v>
      </c>
      <c r="J72" s="102" t="s">
        <v>282</v>
      </c>
      <c r="K72" s="102" t="s">
        <v>285</v>
      </c>
      <c r="L72" s="102" t="s">
        <v>285</v>
      </c>
      <c r="M72" s="102" t="s">
        <v>280</v>
      </c>
      <c r="N72" s="102" t="s">
        <v>280</v>
      </c>
      <c r="O72" s="102" t="s">
        <v>285</v>
      </c>
      <c r="P72" s="102" t="s">
        <v>285</v>
      </c>
      <c r="Q72" s="102" t="s">
        <v>285</v>
      </c>
      <c r="R72" s="102" t="s">
        <v>285</v>
      </c>
    </row>
    <row r="73" spans="2:18">
      <c r="B73" s="102" t="s">
        <v>270</v>
      </c>
      <c r="C73" s="102">
        <v>1</v>
      </c>
      <c r="D73" s="102"/>
      <c r="E73" s="102"/>
      <c r="F73" s="102"/>
      <c r="G73" s="102">
        <v>8</v>
      </c>
      <c r="H73" s="102"/>
      <c r="I73" s="102">
        <v>8</v>
      </c>
      <c r="J73" s="102"/>
      <c r="K73" s="102">
        <v>8</v>
      </c>
      <c r="L73" s="102">
        <v>3</v>
      </c>
      <c r="M73" s="102">
        <v>8</v>
      </c>
      <c r="N73" s="102">
        <v>8</v>
      </c>
      <c r="O73" s="102">
        <v>30</v>
      </c>
      <c r="P73" s="102">
        <v>1</v>
      </c>
      <c r="Q73" s="102">
        <v>2</v>
      </c>
      <c r="R73" s="102">
        <v>20</v>
      </c>
    </row>
    <row r="74" spans="2:18">
      <c r="B74" s="102" t="s">
        <v>271</v>
      </c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>
        <v>0</v>
      </c>
      <c r="N74" s="102">
        <v>0</v>
      </c>
      <c r="O74" s="102"/>
      <c r="P74" s="102"/>
      <c r="Q74" s="102"/>
      <c r="R74" s="102"/>
    </row>
    <row r="75" spans="2:18">
      <c r="B75" s="102" t="s">
        <v>272</v>
      </c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</row>
    <row r="76" spans="2:18">
      <c r="B76" s="102" t="s">
        <v>273</v>
      </c>
      <c r="C76" s="102"/>
      <c r="D76" s="102"/>
      <c r="E76" s="102"/>
      <c r="F76" s="102"/>
      <c r="G76" s="102"/>
      <c r="H76" s="102"/>
      <c r="I76" s="102"/>
      <c r="J76" s="102"/>
      <c r="K76" s="102"/>
      <c r="L76" s="102">
        <v>1</v>
      </c>
      <c r="M76" s="102">
        <v>2</v>
      </c>
      <c r="N76" s="102"/>
      <c r="O76" s="102"/>
      <c r="P76" s="102"/>
      <c r="Q76" s="102"/>
      <c r="R76" s="102"/>
    </row>
    <row r="77" spans="2:18">
      <c r="B77" s="102" t="s">
        <v>274</v>
      </c>
      <c r="C77" s="102">
        <v>0</v>
      </c>
      <c r="D77" s="102">
        <v>0</v>
      </c>
      <c r="E77" s="102"/>
      <c r="F77" s="102"/>
      <c r="G77" s="102"/>
      <c r="H77" s="102"/>
      <c r="I77" s="102"/>
      <c r="J77" s="102"/>
      <c r="K77" s="102"/>
      <c r="L77" s="102"/>
      <c r="M77" s="102"/>
      <c r="N77" s="102">
        <v>99991231</v>
      </c>
      <c r="O77" s="102"/>
      <c r="P77" s="102"/>
      <c r="Q77" s="102"/>
      <c r="R77" s="102"/>
    </row>
    <row r="78" spans="2:18">
      <c r="B78" s="110" t="s">
        <v>275</v>
      </c>
      <c r="C78" s="110" t="s">
        <v>278</v>
      </c>
      <c r="D78" s="110" t="s">
        <v>278</v>
      </c>
      <c r="E78" s="110" t="s">
        <v>278</v>
      </c>
      <c r="F78" s="110" t="s">
        <v>278</v>
      </c>
      <c r="G78" s="110" t="s">
        <v>278</v>
      </c>
      <c r="H78" s="110" t="s">
        <v>278</v>
      </c>
      <c r="I78" s="110" t="s">
        <v>278</v>
      </c>
      <c r="J78" s="110"/>
      <c r="K78" s="110"/>
      <c r="L78" s="110" t="s">
        <v>278</v>
      </c>
      <c r="M78" s="110" t="s">
        <v>278</v>
      </c>
      <c r="N78" s="110" t="s">
        <v>278</v>
      </c>
      <c r="O78" s="110" t="s">
        <v>278</v>
      </c>
      <c r="P78" s="110" t="s">
        <v>278</v>
      </c>
      <c r="Q78" s="110" t="s">
        <v>278</v>
      </c>
      <c r="R78" s="110"/>
    </row>
    <row r="79" spans="2:18">
      <c r="B79" s="108" t="s">
        <v>683</v>
      </c>
      <c r="C79" s="108" t="s">
        <v>81</v>
      </c>
      <c r="D79" s="108" t="s">
        <v>81</v>
      </c>
      <c r="E79" s="108" t="s">
        <v>555</v>
      </c>
      <c r="F79" s="108" t="s">
        <v>555</v>
      </c>
      <c r="G79" s="108" t="s">
        <v>543</v>
      </c>
      <c r="H79" s="108" t="s">
        <v>555</v>
      </c>
      <c r="I79" s="108" t="s">
        <v>543</v>
      </c>
      <c r="J79" s="108" t="s">
        <v>555</v>
      </c>
      <c r="K79" s="108" t="s">
        <v>556</v>
      </c>
      <c r="L79" s="108" t="s">
        <v>640</v>
      </c>
      <c r="M79" s="113">
        <v>20250404</v>
      </c>
      <c r="N79" s="118">
        <v>20261201</v>
      </c>
      <c r="O79" s="108" t="s">
        <v>557</v>
      </c>
      <c r="P79" s="108" t="s">
        <v>86</v>
      </c>
      <c r="Q79" s="108" t="s">
        <v>524</v>
      </c>
      <c r="R79" s="108" t="s">
        <v>558</v>
      </c>
    </row>
    <row r="83" spans="2:35">
      <c r="B83" s="101" t="s">
        <v>582</v>
      </c>
    </row>
    <row r="84" spans="2:35">
      <c r="B84" s="102" t="s">
        <v>450</v>
      </c>
      <c r="C84" s="102" t="s">
        <v>451</v>
      </c>
      <c r="D84" s="102" t="s">
        <v>295</v>
      </c>
      <c r="E84" s="102" t="s">
        <v>452</v>
      </c>
      <c r="F84" s="102" t="s">
        <v>453</v>
      </c>
      <c r="G84" s="102" t="s">
        <v>454</v>
      </c>
      <c r="H84" s="102" t="s">
        <v>455</v>
      </c>
      <c r="I84" s="102" t="s">
        <v>456</v>
      </c>
      <c r="J84" s="102" t="s">
        <v>457</v>
      </c>
      <c r="K84" s="102" t="s">
        <v>458</v>
      </c>
      <c r="L84" s="102" t="s">
        <v>459</v>
      </c>
      <c r="M84" s="102" t="s">
        <v>460</v>
      </c>
      <c r="N84" s="102" t="s">
        <v>461</v>
      </c>
      <c r="O84" s="102" t="s">
        <v>462</v>
      </c>
      <c r="P84" s="102" t="s">
        <v>463</v>
      </c>
      <c r="Q84" s="102" t="s">
        <v>464</v>
      </c>
      <c r="R84" s="102" t="s">
        <v>465</v>
      </c>
      <c r="S84" s="102" t="s">
        <v>466</v>
      </c>
      <c r="T84" s="102" t="s">
        <v>467</v>
      </c>
      <c r="U84" s="102" t="s">
        <v>468</v>
      </c>
      <c r="V84" s="102" t="s">
        <v>469</v>
      </c>
      <c r="W84" s="102" t="s">
        <v>470</v>
      </c>
      <c r="X84" s="102" t="s">
        <v>471</v>
      </c>
      <c r="Y84" s="102" t="s">
        <v>472</v>
      </c>
      <c r="Z84" s="102" t="s">
        <v>473</v>
      </c>
      <c r="AA84" s="102" t="s">
        <v>474</v>
      </c>
      <c r="AB84" s="102" t="s">
        <v>475</v>
      </c>
      <c r="AC84" s="102" t="s">
        <v>476</v>
      </c>
      <c r="AD84" s="102" t="s">
        <v>477</v>
      </c>
      <c r="AE84" s="102" t="s">
        <v>478</v>
      </c>
      <c r="AF84" s="102" t="s">
        <v>479</v>
      </c>
      <c r="AG84" s="102" t="s">
        <v>480</v>
      </c>
      <c r="AH84" s="102" t="s">
        <v>481</v>
      </c>
      <c r="AI84" s="102" t="s">
        <v>482</v>
      </c>
    </row>
    <row r="85" spans="2:35">
      <c r="B85" s="102" t="s">
        <v>483</v>
      </c>
      <c r="C85" s="102" t="s">
        <v>309</v>
      </c>
      <c r="D85" s="102" t="s">
        <v>310</v>
      </c>
      <c r="E85" s="102" t="s">
        <v>311</v>
      </c>
      <c r="F85" s="102" t="s">
        <v>312</v>
      </c>
      <c r="G85" s="102" t="s">
        <v>313</v>
      </c>
      <c r="H85" s="102" t="s">
        <v>314</v>
      </c>
      <c r="I85" s="102" t="s">
        <v>315</v>
      </c>
      <c r="J85" s="102" t="s">
        <v>316</v>
      </c>
      <c r="K85" s="102" t="s">
        <v>317</v>
      </c>
      <c r="L85" s="102" t="s">
        <v>484</v>
      </c>
      <c r="M85" s="102" t="s">
        <v>320</v>
      </c>
      <c r="N85" s="102" t="s">
        <v>321</v>
      </c>
      <c r="O85" s="102" t="s">
        <v>318</v>
      </c>
      <c r="P85" s="102" t="s">
        <v>485</v>
      </c>
      <c r="Q85" s="102" t="s">
        <v>486</v>
      </c>
      <c r="R85" s="102" t="s">
        <v>487</v>
      </c>
      <c r="S85" s="102" t="s">
        <v>488</v>
      </c>
      <c r="T85" s="102" t="s">
        <v>489</v>
      </c>
      <c r="U85" s="102" t="s">
        <v>490</v>
      </c>
      <c r="V85" s="102" t="s">
        <v>491</v>
      </c>
      <c r="W85" s="102" t="s">
        <v>492</v>
      </c>
      <c r="X85" s="102" t="s">
        <v>493</v>
      </c>
      <c r="Y85" s="102" t="s">
        <v>494</v>
      </c>
      <c r="Z85" s="102" t="s">
        <v>495</v>
      </c>
      <c r="AA85" s="102" t="s">
        <v>496</v>
      </c>
      <c r="AB85" s="102" t="s">
        <v>497</v>
      </c>
      <c r="AC85" s="102" t="s">
        <v>498</v>
      </c>
      <c r="AD85" s="102" t="s">
        <v>499</v>
      </c>
      <c r="AE85" s="102" t="s">
        <v>500</v>
      </c>
      <c r="AF85" s="102" t="s">
        <v>501</v>
      </c>
      <c r="AG85" s="102" t="s">
        <v>502</v>
      </c>
      <c r="AH85" s="102" t="s">
        <v>503</v>
      </c>
      <c r="AI85" s="102" t="s">
        <v>504</v>
      </c>
    </row>
    <row r="86" spans="2:35">
      <c r="B86" s="102" t="s">
        <v>505</v>
      </c>
      <c r="C86" s="102" t="s">
        <v>506</v>
      </c>
      <c r="D86" s="102" t="s">
        <v>507</v>
      </c>
      <c r="E86" s="102" t="s">
        <v>508</v>
      </c>
      <c r="F86" s="102" t="s">
        <v>508</v>
      </c>
      <c r="G86" s="102" t="s">
        <v>506</v>
      </c>
      <c r="H86" s="102" t="s">
        <v>508</v>
      </c>
      <c r="I86" s="102" t="s">
        <v>506</v>
      </c>
      <c r="J86" s="102" t="s">
        <v>508</v>
      </c>
      <c r="K86" s="102" t="s">
        <v>506</v>
      </c>
      <c r="L86" s="102" t="s">
        <v>506</v>
      </c>
      <c r="M86" s="102" t="s">
        <v>507</v>
      </c>
      <c r="N86" s="102" t="s">
        <v>507</v>
      </c>
      <c r="O86" s="102" t="s">
        <v>506</v>
      </c>
      <c r="P86" s="102" t="s">
        <v>506</v>
      </c>
      <c r="Q86" s="102" t="s">
        <v>509</v>
      </c>
      <c r="R86" s="102" t="s">
        <v>506</v>
      </c>
      <c r="S86" s="102" t="s">
        <v>509</v>
      </c>
      <c r="T86" s="102" t="s">
        <v>506</v>
      </c>
      <c r="U86" s="102" t="s">
        <v>506</v>
      </c>
      <c r="V86" s="102" t="s">
        <v>506</v>
      </c>
      <c r="W86" s="102" t="s">
        <v>506</v>
      </c>
      <c r="X86" s="102" t="s">
        <v>509</v>
      </c>
      <c r="Y86" s="102" t="s">
        <v>506</v>
      </c>
      <c r="Z86" s="102" t="s">
        <v>509</v>
      </c>
      <c r="AA86" s="102" t="s">
        <v>506</v>
      </c>
      <c r="AB86" s="102" t="s">
        <v>509</v>
      </c>
      <c r="AC86" s="102" t="s">
        <v>506</v>
      </c>
      <c r="AD86" s="102" t="s">
        <v>506</v>
      </c>
      <c r="AE86" s="102" t="s">
        <v>506</v>
      </c>
      <c r="AF86" s="102" t="s">
        <v>506</v>
      </c>
      <c r="AG86" s="102" t="s">
        <v>506</v>
      </c>
      <c r="AH86" s="102" t="s">
        <v>506</v>
      </c>
      <c r="AI86" s="102" t="s">
        <v>506</v>
      </c>
    </row>
    <row r="87" spans="2:35">
      <c r="B87" s="102" t="s">
        <v>510</v>
      </c>
      <c r="C87" s="102">
        <v>1</v>
      </c>
      <c r="D87" s="102">
        <v>9</v>
      </c>
      <c r="E87" s="102">
        <v>19</v>
      </c>
      <c r="F87" s="102">
        <v>19</v>
      </c>
      <c r="G87" s="102">
        <v>8</v>
      </c>
      <c r="H87" s="102">
        <v>19</v>
      </c>
      <c r="I87" s="102">
        <v>8</v>
      </c>
      <c r="J87" s="102">
        <v>19</v>
      </c>
      <c r="K87" s="102">
        <v>8</v>
      </c>
      <c r="L87" s="102">
        <v>2</v>
      </c>
      <c r="M87" s="102">
        <v>8</v>
      </c>
      <c r="N87" s="102">
        <v>8</v>
      </c>
      <c r="O87" s="102">
        <v>4</v>
      </c>
      <c r="P87" s="102">
        <v>1</v>
      </c>
      <c r="Q87" s="102">
        <v>30</v>
      </c>
      <c r="R87" s="102">
        <v>30</v>
      </c>
      <c r="S87" s="102">
        <v>8</v>
      </c>
      <c r="T87" s="102">
        <v>8</v>
      </c>
      <c r="U87" s="102">
        <v>100</v>
      </c>
      <c r="V87" s="102">
        <v>7</v>
      </c>
      <c r="W87" s="102">
        <v>11</v>
      </c>
      <c r="X87" s="102">
        <v>60</v>
      </c>
      <c r="Y87" s="102">
        <v>60</v>
      </c>
      <c r="Z87" s="102">
        <v>20</v>
      </c>
      <c r="AA87" s="102">
        <v>10</v>
      </c>
      <c r="AB87" s="102">
        <v>40</v>
      </c>
      <c r="AC87" s="102">
        <v>40</v>
      </c>
      <c r="AD87" s="102">
        <v>6</v>
      </c>
      <c r="AE87" s="102">
        <v>5</v>
      </c>
      <c r="AF87" s="102">
        <v>5</v>
      </c>
      <c r="AG87" s="102">
        <v>6</v>
      </c>
      <c r="AH87" s="102">
        <v>5</v>
      </c>
      <c r="AI87" s="102">
        <v>5</v>
      </c>
    </row>
    <row r="88" spans="2:35">
      <c r="B88" s="102" t="s">
        <v>511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</row>
    <row r="89" spans="2:35">
      <c r="B89" s="102" t="s">
        <v>330</v>
      </c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</row>
    <row r="90" spans="2:35">
      <c r="B90" s="102" t="s">
        <v>331</v>
      </c>
      <c r="C90" s="102"/>
      <c r="D90" s="102"/>
      <c r="E90" s="102"/>
      <c r="F90" s="102"/>
      <c r="G90" s="102"/>
      <c r="H90" s="102"/>
      <c r="I90" s="102"/>
      <c r="J90" s="102"/>
      <c r="K90" s="102"/>
      <c r="L90" s="102">
        <v>1</v>
      </c>
      <c r="M90" s="102">
        <v>2</v>
      </c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</row>
    <row r="91" spans="2:35">
      <c r="B91" s="102" t="s">
        <v>512</v>
      </c>
      <c r="C91" s="102" t="s">
        <v>513</v>
      </c>
      <c r="D91" s="102">
        <v>0</v>
      </c>
      <c r="E91" s="102" t="s">
        <v>514</v>
      </c>
      <c r="F91" s="102" t="s">
        <v>514</v>
      </c>
      <c r="G91" s="102"/>
      <c r="H91" s="102"/>
      <c r="I91" s="102"/>
      <c r="J91" s="102"/>
      <c r="K91" s="102"/>
      <c r="L91" s="102"/>
      <c r="M91" s="102"/>
      <c r="N91" s="102" t="s">
        <v>515</v>
      </c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</row>
    <row r="92" spans="2:35">
      <c r="B92" s="110" t="s">
        <v>333</v>
      </c>
      <c r="C92" s="110" t="s">
        <v>334</v>
      </c>
      <c r="D92" s="110" t="s">
        <v>334</v>
      </c>
      <c r="E92" s="110" t="s">
        <v>334</v>
      </c>
      <c r="F92" s="110" t="s">
        <v>334</v>
      </c>
      <c r="G92" s="110" t="s">
        <v>334</v>
      </c>
      <c r="H92" s="110"/>
      <c r="I92" s="110" t="s">
        <v>334</v>
      </c>
      <c r="J92" s="110"/>
      <c r="K92" s="110" t="s">
        <v>334</v>
      </c>
      <c r="L92" s="110" t="s">
        <v>334</v>
      </c>
      <c r="M92" s="110" t="s">
        <v>334</v>
      </c>
      <c r="N92" s="110" t="s">
        <v>334</v>
      </c>
      <c r="O92" s="110" t="s">
        <v>334</v>
      </c>
      <c r="P92" s="110" t="s">
        <v>334</v>
      </c>
      <c r="Q92" s="110" t="s">
        <v>334</v>
      </c>
      <c r="R92" s="110" t="s">
        <v>334</v>
      </c>
      <c r="S92" s="110" t="s">
        <v>334</v>
      </c>
      <c r="T92" s="110" t="s">
        <v>334</v>
      </c>
      <c r="U92" s="110" t="s">
        <v>334</v>
      </c>
      <c r="V92" s="110" t="s">
        <v>334</v>
      </c>
      <c r="W92" s="110" t="s">
        <v>334</v>
      </c>
      <c r="X92" s="110" t="s">
        <v>334</v>
      </c>
      <c r="Y92" s="110" t="s">
        <v>334</v>
      </c>
      <c r="Z92" s="110" t="s">
        <v>334</v>
      </c>
      <c r="AA92" s="110" t="s">
        <v>334</v>
      </c>
      <c r="AB92" s="110" t="s">
        <v>334</v>
      </c>
      <c r="AC92" s="110" t="s">
        <v>334</v>
      </c>
      <c r="AD92" s="110" t="s">
        <v>334</v>
      </c>
      <c r="AE92" s="110" t="s">
        <v>334</v>
      </c>
      <c r="AF92" s="110" t="s">
        <v>334</v>
      </c>
      <c r="AG92" s="110" t="s">
        <v>334</v>
      </c>
      <c r="AH92" s="110" t="s">
        <v>334</v>
      </c>
      <c r="AI92" s="110" t="s">
        <v>334</v>
      </c>
    </row>
    <row r="93" spans="2:35">
      <c r="B93" s="108" t="s">
        <v>683</v>
      </c>
      <c r="C93" s="108" t="s">
        <v>81</v>
      </c>
      <c r="D93" s="108" t="s">
        <v>81</v>
      </c>
      <c r="E93" s="108" t="s">
        <v>563</v>
      </c>
      <c r="F93" s="108" t="s">
        <v>563</v>
      </c>
      <c r="G93" s="108" t="s">
        <v>543</v>
      </c>
      <c r="H93" s="108" t="s">
        <v>563</v>
      </c>
      <c r="I93" s="108" t="s">
        <v>543</v>
      </c>
      <c r="J93" s="108" t="s">
        <v>563</v>
      </c>
      <c r="K93" s="108" t="s">
        <v>556</v>
      </c>
      <c r="L93" s="108" t="s">
        <v>524</v>
      </c>
      <c r="M93" s="113">
        <v>20250404</v>
      </c>
      <c r="N93" s="118">
        <v>20261201</v>
      </c>
      <c r="O93" s="108" t="s">
        <v>548</v>
      </c>
      <c r="P93" s="108" t="s">
        <v>86</v>
      </c>
      <c r="Q93" s="108" t="s">
        <v>564</v>
      </c>
      <c r="R93" s="108" t="s">
        <v>565</v>
      </c>
      <c r="S93" s="108" t="s">
        <v>566</v>
      </c>
      <c r="T93" s="108" t="s">
        <v>567</v>
      </c>
      <c r="U93" s="108" t="s">
        <v>568</v>
      </c>
      <c r="V93" s="108" t="s">
        <v>569</v>
      </c>
      <c r="W93" s="108" t="s">
        <v>570</v>
      </c>
      <c r="X93" s="108" t="s">
        <v>571</v>
      </c>
      <c r="Y93" s="108" t="s">
        <v>572</v>
      </c>
      <c r="Z93" s="108" t="s">
        <v>573</v>
      </c>
      <c r="AA93" s="108" t="s">
        <v>574</v>
      </c>
      <c r="AB93" s="108" t="s">
        <v>575</v>
      </c>
      <c r="AC93" s="108" t="s">
        <v>576</v>
      </c>
      <c r="AD93" s="108" t="s">
        <v>577</v>
      </c>
      <c r="AE93" s="108" t="s">
        <v>578</v>
      </c>
      <c r="AF93" s="108" t="s">
        <v>579</v>
      </c>
      <c r="AG93" s="108" t="s">
        <v>577</v>
      </c>
      <c r="AH93" s="108" t="s">
        <v>578</v>
      </c>
      <c r="AI93" s="108" t="s">
        <v>580</v>
      </c>
    </row>
  </sheetData>
  <phoneticPr fontId="4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8738-6055-4BD7-858A-E6C13B989742}">
  <dimension ref="B4:Q26"/>
  <sheetViews>
    <sheetView zoomScaleNormal="100" workbookViewId="0"/>
  </sheetViews>
  <sheetFormatPr defaultColWidth="10.625" defaultRowHeight="13.5"/>
  <cols>
    <col min="1" max="4" width="10.625" style="100"/>
    <col min="5" max="5" width="13.875" style="100" bestFit="1" customWidth="1"/>
    <col min="6" max="6" width="25" style="100" bestFit="1" customWidth="1"/>
    <col min="7" max="7" width="10.625" style="100"/>
    <col min="8" max="8" width="22.5" style="100" customWidth="1"/>
    <col min="9" max="9" width="15.875" style="100" customWidth="1"/>
    <col min="10" max="16" width="10.625" style="100"/>
    <col min="17" max="17" width="10.625" style="100" customWidth="1"/>
    <col min="18" max="16384" width="10.625" style="100"/>
  </cols>
  <sheetData>
    <row r="4" spans="2:17">
      <c r="B4" s="101" t="s">
        <v>44</v>
      </c>
      <c r="C4" s="100" t="s">
        <v>741</v>
      </c>
    </row>
    <row r="5" spans="2:17" ht="14.25">
      <c r="B5" s="122" t="s">
        <v>354</v>
      </c>
      <c r="C5" s="102" t="s">
        <v>304</v>
      </c>
      <c r="D5" s="122" t="s">
        <v>374</v>
      </c>
      <c r="E5" s="122" t="s">
        <v>377</v>
      </c>
      <c r="F5" s="122" t="s">
        <v>380</v>
      </c>
      <c r="G5" s="122" t="s">
        <v>597</v>
      </c>
    </row>
    <row r="6" spans="2:17" ht="14.25">
      <c r="B6" s="122" t="s">
        <v>355</v>
      </c>
      <c r="C6" s="102" t="s">
        <v>319</v>
      </c>
      <c r="D6" s="122" t="s">
        <v>587</v>
      </c>
      <c r="E6" s="122" t="s">
        <v>586</v>
      </c>
      <c r="F6" s="122" t="s">
        <v>585</v>
      </c>
      <c r="G6" s="122"/>
    </row>
    <row r="7" spans="2:17">
      <c r="B7" s="105" t="s">
        <v>353</v>
      </c>
      <c r="C7" s="105" t="s">
        <v>603</v>
      </c>
      <c r="D7" s="105" t="s">
        <v>584</v>
      </c>
      <c r="E7" s="105" t="s">
        <v>356</v>
      </c>
      <c r="F7" s="105" t="s">
        <v>601</v>
      </c>
      <c r="G7" s="105">
        <v>202505</v>
      </c>
    </row>
    <row r="8" spans="2:17">
      <c r="B8" s="105" t="s">
        <v>357</v>
      </c>
      <c r="C8" s="105" t="s">
        <v>45</v>
      </c>
      <c r="D8" s="105" t="s">
        <v>584</v>
      </c>
      <c r="E8" s="105" t="s">
        <v>362</v>
      </c>
      <c r="F8" s="105" t="s">
        <v>601</v>
      </c>
      <c r="G8" s="105">
        <v>202505</v>
      </c>
    </row>
    <row r="9" spans="2:17">
      <c r="B9" s="105" t="s">
        <v>358</v>
      </c>
      <c r="C9" s="105" t="s">
        <v>45</v>
      </c>
      <c r="D9" s="105" t="s">
        <v>220</v>
      </c>
      <c r="E9" s="105" t="s">
        <v>363</v>
      </c>
      <c r="F9" s="105" t="s">
        <v>602</v>
      </c>
      <c r="G9" s="105">
        <v>202505</v>
      </c>
    </row>
    <row r="10" spans="2:17">
      <c r="B10" s="105" t="s">
        <v>359</v>
      </c>
      <c r="C10" s="105" t="s">
        <v>45</v>
      </c>
      <c r="D10" s="105" t="s">
        <v>584</v>
      </c>
      <c r="E10" s="105" t="s">
        <v>364</v>
      </c>
      <c r="F10" s="105" t="s">
        <v>45</v>
      </c>
      <c r="G10" s="105">
        <v>202505</v>
      </c>
    </row>
    <row r="11" spans="2:17">
      <c r="B11" s="105" t="s">
        <v>360</v>
      </c>
      <c r="C11" s="105" t="s">
        <v>603</v>
      </c>
      <c r="D11" s="105" t="s">
        <v>584</v>
      </c>
      <c r="E11" s="105" t="s">
        <v>365</v>
      </c>
      <c r="F11" s="105" t="s">
        <v>601</v>
      </c>
      <c r="G11" s="105">
        <v>299912</v>
      </c>
    </row>
    <row r="15" spans="2:17">
      <c r="B15" s="101" t="s">
        <v>352</v>
      </c>
      <c r="C15" s="100" t="s">
        <v>740</v>
      </c>
    </row>
    <row r="16" spans="2:17" ht="14.25">
      <c r="B16" s="122" t="s">
        <v>354</v>
      </c>
      <c r="C16" s="124" t="s">
        <v>597</v>
      </c>
      <c r="D16" s="124" t="s">
        <v>373</v>
      </c>
      <c r="E16" s="122" t="s">
        <v>605</v>
      </c>
      <c r="F16" s="122" t="s">
        <v>606</v>
      </c>
      <c r="G16" s="122" t="s">
        <v>607</v>
      </c>
      <c r="H16" s="124" t="s">
        <v>608</v>
      </c>
      <c r="I16" s="122" t="s">
        <v>609</v>
      </c>
      <c r="J16" s="124" t="s">
        <v>610</v>
      </c>
      <c r="K16" s="124" t="s">
        <v>611</v>
      </c>
      <c r="L16" s="124" t="s">
        <v>612</v>
      </c>
      <c r="M16" s="122" t="s">
        <v>613</v>
      </c>
      <c r="N16" s="124" t="s">
        <v>614</v>
      </c>
      <c r="O16" s="124" t="s">
        <v>615</v>
      </c>
      <c r="P16" s="124" t="s">
        <v>616</v>
      </c>
      <c r="Q16" s="124" t="s">
        <v>617</v>
      </c>
    </row>
    <row r="17" spans="2:17" ht="14.25">
      <c r="B17" s="122" t="s">
        <v>355</v>
      </c>
      <c r="C17" s="122" t="s">
        <v>618</v>
      </c>
      <c r="D17" s="122" t="s">
        <v>619</v>
      </c>
      <c r="E17" s="122" t="s">
        <v>620</v>
      </c>
      <c r="F17" s="122" t="s">
        <v>621</v>
      </c>
      <c r="G17" s="122" t="s">
        <v>622</v>
      </c>
      <c r="H17" s="122" t="s">
        <v>623</v>
      </c>
      <c r="I17" s="122" t="s">
        <v>624</v>
      </c>
      <c r="J17" s="122" t="s">
        <v>625</v>
      </c>
      <c r="K17" s="122" t="s">
        <v>626</v>
      </c>
      <c r="L17" s="122" t="s">
        <v>627</v>
      </c>
      <c r="M17" s="122" t="s">
        <v>628</v>
      </c>
      <c r="N17" s="122" t="s">
        <v>629</v>
      </c>
      <c r="O17" s="122" t="s">
        <v>630</v>
      </c>
      <c r="P17" s="122" t="s">
        <v>631</v>
      </c>
      <c r="Q17" s="122" t="s">
        <v>632</v>
      </c>
    </row>
    <row r="18" spans="2:17">
      <c r="B18" s="125" t="s">
        <v>353</v>
      </c>
      <c r="C18" s="123" t="str">
        <f>'テストデータDB（No.2）'!I15</f>
        <v>202505</v>
      </c>
      <c r="D18" s="123" t="str">
        <f>'テストデータDB（No.2）'!J15</f>
        <v>01</v>
      </c>
      <c r="E18" s="123" t="str">
        <f>'テストデータDB（No.2）'!O33</f>
        <v>共通・管理業種</v>
      </c>
      <c r="F18" s="123" t="str">
        <f>'テストデータDB（No.2）'!L79</f>
        <v>101</v>
      </c>
      <c r="G18" s="123" t="str">
        <f>'テストデータDB（No.2）'!O79</f>
        <v>小麦類</v>
      </c>
      <c r="H18" s="123" t="str">
        <f>'テストデータDB（No.2）'!K15</f>
        <v>100001</v>
      </c>
      <c r="I18" s="123" t="str">
        <f>'テストデータDB（No.2）'!O48</f>
        <v>メークイン（Ｌ）</v>
      </c>
      <c r="J18" s="123" t="s">
        <v>547</v>
      </c>
      <c r="K18" s="123" t="s">
        <v>524</v>
      </c>
      <c r="L18" s="123" t="str">
        <f>'テストデータDB（No.2）'!L93</f>
        <v>01</v>
      </c>
      <c r="M18" s="123" t="str">
        <f>'テストデータDB（No.2）'!Q93</f>
        <v>札幌本社</v>
      </c>
      <c r="N18" s="123" t="str">
        <f>'テストデータDB（No.2）'!P15</f>
        <v>1000000</v>
      </c>
      <c r="O18" s="123" t="str">
        <f>'テストデータDB（No.2）'!Q15</f>
        <v>50000</v>
      </c>
      <c r="P18" s="123" t="str">
        <f>'テストデータDB（No.2）'!R15</f>
        <v>5000000</v>
      </c>
      <c r="Q18" s="123" t="str">
        <f>'テストデータDB（No.2）'!S15</f>
        <v>250000</v>
      </c>
    </row>
    <row r="19" spans="2:17">
      <c r="B19" s="125" t="s">
        <v>353</v>
      </c>
      <c r="C19" s="123" t="s">
        <v>545</v>
      </c>
      <c r="D19" s="123" t="s">
        <v>524</v>
      </c>
      <c r="E19" s="123" t="s">
        <v>642</v>
      </c>
      <c r="F19" s="123" t="s">
        <v>642</v>
      </c>
      <c r="G19" s="123" t="s">
        <v>642</v>
      </c>
      <c r="H19" s="127">
        <v>100002</v>
      </c>
      <c r="I19" s="123" t="s">
        <v>642</v>
      </c>
      <c r="J19" s="123" t="s">
        <v>547</v>
      </c>
      <c r="K19" s="123" t="s">
        <v>524</v>
      </c>
      <c r="L19" s="123" t="s">
        <v>642</v>
      </c>
      <c r="M19" s="123" t="s">
        <v>642</v>
      </c>
      <c r="N19" s="123" t="s">
        <v>642</v>
      </c>
      <c r="O19" s="123" t="s">
        <v>642</v>
      </c>
      <c r="P19" s="123" t="s">
        <v>642</v>
      </c>
      <c r="Q19" s="123" t="s">
        <v>642</v>
      </c>
    </row>
    <row r="20" spans="2:17">
      <c r="B20" s="125" t="s">
        <v>353</v>
      </c>
      <c r="C20" s="123" t="s">
        <v>545</v>
      </c>
      <c r="D20" s="123" t="s">
        <v>524</v>
      </c>
      <c r="E20" s="123" t="s">
        <v>642</v>
      </c>
      <c r="F20" s="123" t="s">
        <v>642</v>
      </c>
      <c r="G20" s="123" t="s">
        <v>642</v>
      </c>
      <c r="H20" s="123" t="s">
        <v>546</v>
      </c>
      <c r="I20" s="123" t="s">
        <v>642</v>
      </c>
      <c r="J20" s="127">
        <v>2025</v>
      </c>
      <c r="K20" s="123" t="s">
        <v>524</v>
      </c>
      <c r="L20" s="123" t="s">
        <v>642</v>
      </c>
      <c r="M20" s="123" t="s">
        <v>642</v>
      </c>
      <c r="N20" s="123" t="s">
        <v>642</v>
      </c>
      <c r="O20" s="123" t="s">
        <v>642</v>
      </c>
      <c r="P20" s="123" t="s">
        <v>642</v>
      </c>
      <c r="Q20" s="123" t="s">
        <v>642</v>
      </c>
    </row>
    <row r="21" spans="2:17">
      <c r="B21" s="125" t="s">
        <v>353</v>
      </c>
      <c r="C21" s="123" t="s">
        <v>545</v>
      </c>
      <c r="D21" s="123" t="s">
        <v>524</v>
      </c>
      <c r="E21" s="123" t="s">
        <v>642</v>
      </c>
      <c r="F21" s="123" t="s">
        <v>642</v>
      </c>
      <c r="G21" s="123" t="s">
        <v>642</v>
      </c>
      <c r="H21" s="123" t="s">
        <v>546</v>
      </c>
      <c r="I21" s="123" t="s">
        <v>642</v>
      </c>
      <c r="J21" s="123" t="s">
        <v>547</v>
      </c>
      <c r="K21" s="108" t="s">
        <v>643</v>
      </c>
      <c r="L21" s="123" t="s">
        <v>642</v>
      </c>
      <c r="M21" s="123" t="s">
        <v>642</v>
      </c>
      <c r="N21" s="123" t="s">
        <v>642</v>
      </c>
      <c r="O21" s="123" t="s">
        <v>642</v>
      </c>
      <c r="P21" s="123" t="s">
        <v>642</v>
      </c>
      <c r="Q21" s="123" t="s">
        <v>642</v>
      </c>
    </row>
    <row r="22" spans="2:17">
      <c r="B22" s="125" t="s">
        <v>353</v>
      </c>
      <c r="C22" s="123" t="s">
        <v>545</v>
      </c>
      <c r="D22" s="123" t="s">
        <v>524</v>
      </c>
      <c r="E22" s="123" t="s">
        <v>642</v>
      </c>
      <c r="F22" s="123" t="s">
        <v>642</v>
      </c>
      <c r="G22" s="123" t="s">
        <v>642</v>
      </c>
      <c r="H22" s="123" t="s">
        <v>546</v>
      </c>
      <c r="I22" s="123" t="s">
        <v>642</v>
      </c>
      <c r="J22" s="123" t="s">
        <v>547</v>
      </c>
      <c r="K22" s="123" t="s">
        <v>524</v>
      </c>
      <c r="L22" s="123" t="s">
        <v>642</v>
      </c>
      <c r="M22" s="123" t="s">
        <v>642</v>
      </c>
      <c r="N22" s="123" t="s">
        <v>642</v>
      </c>
      <c r="O22" s="123" t="s">
        <v>642</v>
      </c>
      <c r="P22" s="123" t="s">
        <v>642</v>
      </c>
      <c r="Q22" s="123" t="s">
        <v>642</v>
      </c>
    </row>
    <row r="23" spans="2:17">
      <c r="B23" s="125" t="s">
        <v>343</v>
      </c>
      <c r="C23" s="123" t="str">
        <f>'テストデータDB（No.2）'!I15</f>
        <v>202505</v>
      </c>
      <c r="D23" s="123" t="str">
        <f>'テストデータDB（No.2）'!J15</f>
        <v>01</v>
      </c>
      <c r="E23" s="123" t="s">
        <v>189</v>
      </c>
      <c r="F23" s="123" t="s">
        <v>189</v>
      </c>
      <c r="G23" s="123" t="s">
        <v>189</v>
      </c>
      <c r="H23" s="123" t="str">
        <f>'テストデータDB（No.2）'!K15</f>
        <v>100001</v>
      </c>
      <c r="I23" s="123" t="s">
        <v>189</v>
      </c>
      <c r="J23" s="123" t="str">
        <f>'テストデータDB（No.2）'!L15</f>
        <v>2024</v>
      </c>
      <c r="K23" s="123" t="s">
        <v>189</v>
      </c>
      <c r="L23" s="123" t="str">
        <f>'テストデータDB（No.2）'!L93</f>
        <v>01</v>
      </c>
      <c r="M23" s="123" t="s">
        <v>189</v>
      </c>
      <c r="N23" s="108" t="str">
        <f>'テストデータDB（No.2）'!P15</f>
        <v>1000000</v>
      </c>
      <c r="O23" s="108" t="str">
        <f>'テストデータDB（No.2）'!Q15</f>
        <v>50000</v>
      </c>
      <c r="P23" s="108" t="str">
        <f>'テストデータDB（No.2）'!R15</f>
        <v>5000000</v>
      </c>
      <c r="Q23" s="108" t="str">
        <f>'テストデータDB（No.2）'!S15</f>
        <v>250000</v>
      </c>
    </row>
    <row r="24" spans="2:17">
      <c r="B24" s="125" t="s">
        <v>344</v>
      </c>
      <c r="C24" s="123" t="str">
        <f>'テストデータDB（No.2）'!I15</f>
        <v>202505</v>
      </c>
      <c r="D24" s="123" t="str">
        <f>'テストデータDB（No.2）'!J15</f>
        <v>01</v>
      </c>
      <c r="E24" s="123" t="s">
        <v>189</v>
      </c>
      <c r="F24" s="123" t="s">
        <v>189</v>
      </c>
      <c r="G24" s="123" t="s">
        <v>189</v>
      </c>
      <c r="H24" s="123" t="str">
        <f>'テストデータDB（No.2）'!K15</f>
        <v>100001</v>
      </c>
      <c r="I24" s="123" t="s">
        <v>189</v>
      </c>
      <c r="J24" s="123" t="str">
        <f>'テストデータDB（No.2）'!L15</f>
        <v>2024</v>
      </c>
      <c r="K24" s="123" t="s">
        <v>189</v>
      </c>
      <c r="L24" s="123" t="str">
        <f>'テストデータDB（No.2）'!L93</f>
        <v>01</v>
      </c>
      <c r="M24" s="123" t="s">
        <v>189</v>
      </c>
      <c r="N24" s="108" t="str">
        <f>'テストデータDB（No.2）'!P15</f>
        <v>1000000</v>
      </c>
      <c r="O24" s="108" t="str">
        <f>'テストデータDB（No.2）'!Q15</f>
        <v>50000</v>
      </c>
      <c r="P24" s="108" t="str">
        <f>'テストデータDB（No.2）'!R15</f>
        <v>5000000</v>
      </c>
      <c r="Q24" s="108" t="str">
        <f>'テストデータDB（No.2）'!S15</f>
        <v>250000</v>
      </c>
    </row>
    <row r="25" spans="2:17">
      <c r="B25" s="125" t="s">
        <v>345</v>
      </c>
      <c r="C25" s="123" t="s">
        <v>189</v>
      </c>
      <c r="D25" s="123" t="s">
        <v>189</v>
      </c>
      <c r="E25" s="123" t="s">
        <v>189</v>
      </c>
      <c r="F25" s="123" t="s">
        <v>189</v>
      </c>
      <c r="G25" s="123" t="s">
        <v>189</v>
      </c>
      <c r="H25" s="123" t="s">
        <v>189</v>
      </c>
      <c r="I25" s="123" t="s">
        <v>189</v>
      </c>
      <c r="J25" s="123" t="s">
        <v>189</v>
      </c>
      <c r="K25" s="123" t="s">
        <v>189</v>
      </c>
      <c r="L25" s="123" t="s">
        <v>189</v>
      </c>
      <c r="M25" s="123" t="s">
        <v>189</v>
      </c>
      <c r="N25" s="123" t="s">
        <v>189</v>
      </c>
      <c r="O25" s="123" t="s">
        <v>189</v>
      </c>
      <c r="P25" s="123" t="s">
        <v>189</v>
      </c>
      <c r="Q25" s="123" t="s">
        <v>189</v>
      </c>
    </row>
    <row r="26" spans="2:17">
      <c r="B26" s="125" t="s">
        <v>346</v>
      </c>
      <c r="C26" s="123" t="s">
        <v>189</v>
      </c>
      <c r="D26" s="123" t="s">
        <v>189</v>
      </c>
      <c r="E26" s="123" t="s">
        <v>189</v>
      </c>
      <c r="F26" s="123" t="s">
        <v>189</v>
      </c>
      <c r="G26" s="123" t="s">
        <v>189</v>
      </c>
      <c r="H26" s="123" t="s">
        <v>189</v>
      </c>
      <c r="I26" s="123" t="s">
        <v>189</v>
      </c>
      <c r="J26" s="123" t="s">
        <v>189</v>
      </c>
      <c r="K26" s="123" t="s">
        <v>189</v>
      </c>
      <c r="L26" s="123" t="s">
        <v>189</v>
      </c>
      <c r="M26" s="123" t="s">
        <v>189</v>
      </c>
      <c r="N26" s="123" t="s">
        <v>189</v>
      </c>
      <c r="O26" s="123" t="s">
        <v>189</v>
      </c>
      <c r="P26" s="123" t="s">
        <v>189</v>
      </c>
      <c r="Q26" s="123" t="s">
        <v>189</v>
      </c>
    </row>
  </sheetData>
  <phoneticPr fontId="6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35C8-245B-4B91-9949-9C335C2844F6}">
  <sheetPr>
    <pageSetUpPr fitToPage="1"/>
  </sheetPr>
  <dimension ref="A1:Y72"/>
  <sheetViews>
    <sheetView zoomScaleNormal="100" workbookViewId="0"/>
  </sheetViews>
  <sheetFormatPr defaultColWidth="2.5" defaultRowHeight="15" customHeight="1"/>
  <cols>
    <col min="1" max="1" width="1.625" style="57" customWidth="1"/>
    <col min="2" max="2" width="14.875" style="95" customWidth="1"/>
    <col min="3" max="3" width="5.375" style="96" customWidth="1"/>
    <col min="4" max="4" width="45.625" style="97" customWidth="1"/>
    <col min="5" max="23" width="5.625" style="80" customWidth="1"/>
    <col min="24" max="24" width="2.5" style="57"/>
    <col min="25" max="25" width="2.5" style="62"/>
    <col min="26" max="16384" width="2.5" style="57"/>
  </cols>
  <sheetData>
    <row r="1" spans="1:25" ht="26.25" customHeight="1">
      <c r="B1" s="58" t="s">
        <v>29</v>
      </c>
      <c r="C1" s="59">
        <v>1</v>
      </c>
      <c r="D1" s="60" t="s">
        <v>30</v>
      </c>
      <c r="E1" s="61">
        <f>COUNTA(F1:CW1)</f>
        <v>5</v>
      </c>
      <c r="F1" s="61">
        <f t="shared" ref="F1:J1" si="0">COLUMN()-5</f>
        <v>1</v>
      </c>
      <c r="G1" s="61">
        <f t="shared" si="0"/>
        <v>2</v>
      </c>
      <c r="H1" s="61">
        <f t="shared" si="0"/>
        <v>3</v>
      </c>
      <c r="I1" s="61">
        <f t="shared" si="0"/>
        <v>4</v>
      </c>
      <c r="J1" s="61">
        <f t="shared" si="0"/>
        <v>5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1:25" ht="20.100000000000001" customHeight="1">
      <c r="A2" s="63"/>
      <c r="B2" s="64"/>
      <c r="C2" s="65" t="s">
        <v>31</v>
      </c>
      <c r="D2" s="66" t="s">
        <v>32</v>
      </c>
      <c r="E2" s="67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9"/>
    </row>
    <row r="3" spans="1:25" ht="19.899999999999999" customHeight="1">
      <c r="A3" s="63"/>
      <c r="B3" s="70" t="s">
        <v>33</v>
      </c>
      <c r="C3" s="71">
        <v>1</v>
      </c>
      <c r="D3" s="72" t="s">
        <v>52</v>
      </c>
      <c r="E3" s="73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</row>
    <row r="4" spans="1:25" ht="20.100000000000001" customHeight="1">
      <c r="A4" s="63"/>
      <c r="B4" s="70"/>
      <c r="C4" s="136" t="s">
        <v>222</v>
      </c>
      <c r="D4" s="107" t="s">
        <v>373</v>
      </c>
      <c r="E4" s="76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</row>
    <row r="5" spans="1:25" ht="20.100000000000001" customHeight="1">
      <c r="A5" s="63"/>
      <c r="B5" s="70"/>
      <c r="C5" s="136" t="s">
        <v>221</v>
      </c>
      <c r="D5" s="56" t="s">
        <v>341</v>
      </c>
      <c r="E5" s="78"/>
      <c r="F5" s="128" t="s">
        <v>38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</row>
    <row r="6" spans="1:25" ht="20.100000000000001" customHeight="1">
      <c r="A6" s="63"/>
      <c r="B6" s="70"/>
      <c r="C6" s="136" t="s">
        <v>224</v>
      </c>
      <c r="D6" s="56" t="s">
        <v>45</v>
      </c>
      <c r="E6" s="78"/>
      <c r="F6" s="61"/>
      <c r="G6" s="128" t="s">
        <v>38</v>
      </c>
      <c r="H6" s="128" t="s">
        <v>38</v>
      </c>
      <c r="I6" s="128" t="s">
        <v>38</v>
      </c>
      <c r="J6" s="128" t="s">
        <v>38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</row>
    <row r="7" spans="1:25" ht="20.100000000000001" customHeight="1">
      <c r="A7" s="63"/>
      <c r="B7" s="70"/>
      <c r="C7" s="136"/>
      <c r="D7" s="56"/>
      <c r="E7" s="78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</row>
    <row r="8" spans="1:25" ht="20.100000000000001" customHeight="1">
      <c r="A8" s="63"/>
      <c r="B8" s="70"/>
      <c r="C8" s="136" t="s">
        <v>223</v>
      </c>
      <c r="D8" s="75" t="s">
        <v>374</v>
      </c>
      <c r="E8" s="76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</row>
    <row r="9" spans="1:25" ht="20.100000000000001" customHeight="1">
      <c r="A9" s="63"/>
      <c r="B9" s="70"/>
      <c r="C9" s="136" t="s">
        <v>247</v>
      </c>
      <c r="D9" s="56" t="s">
        <v>376</v>
      </c>
      <c r="E9" s="78"/>
      <c r="F9" s="61"/>
      <c r="G9" s="128" t="s">
        <v>38</v>
      </c>
      <c r="H9" s="128" t="s">
        <v>38</v>
      </c>
      <c r="I9" s="61"/>
      <c r="J9" s="128" t="s">
        <v>38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</row>
    <row r="10" spans="1:25" ht="20.100000000000001" customHeight="1">
      <c r="A10" s="63"/>
      <c r="B10" s="70"/>
      <c r="C10" s="136" t="s">
        <v>248</v>
      </c>
      <c r="D10" s="56" t="s">
        <v>583</v>
      </c>
      <c r="E10" s="78"/>
      <c r="F10" s="128" t="s">
        <v>38</v>
      </c>
      <c r="G10" s="61"/>
      <c r="H10" s="61"/>
      <c r="I10" s="128" t="s">
        <v>38</v>
      </c>
      <c r="J10" s="128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</row>
    <row r="11" spans="1:25" ht="20.100000000000001" customHeight="1">
      <c r="A11" s="63"/>
      <c r="B11" s="70"/>
      <c r="C11" s="136"/>
      <c r="D11" s="56"/>
      <c r="E11" s="78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</row>
    <row r="12" spans="1:25" ht="24">
      <c r="A12" s="63"/>
      <c r="B12" s="70"/>
      <c r="C12" s="136" t="s">
        <v>381</v>
      </c>
      <c r="D12" s="75" t="s">
        <v>742</v>
      </c>
      <c r="E12" s="76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Y12" s="57"/>
    </row>
    <row r="13" spans="1:25" ht="20.100000000000001" customHeight="1">
      <c r="A13" s="63"/>
      <c r="B13" s="70"/>
      <c r="C13" s="136" t="s">
        <v>219</v>
      </c>
      <c r="D13" s="56" t="s">
        <v>743</v>
      </c>
      <c r="E13" s="78"/>
      <c r="F13" s="128" t="s">
        <v>38</v>
      </c>
      <c r="G13" s="128"/>
      <c r="H13" s="61" t="s">
        <v>278</v>
      </c>
      <c r="I13" s="61" t="s">
        <v>278</v>
      </c>
      <c r="J13" s="61" t="s">
        <v>278</v>
      </c>
      <c r="K13" s="134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</row>
    <row r="14" spans="1:25" ht="20.100000000000001" customHeight="1">
      <c r="A14" s="63"/>
      <c r="B14" s="70"/>
      <c r="C14" s="136" t="s">
        <v>749</v>
      </c>
      <c r="D14" s="56" t="s">
        <v>682</v>
      </c>
      <c r="E14" s="78"/>
      <c r="F14" s="128"/>
      <c r="G14" s="128" t="s">
        <v>38</v>
      </c>
      <c r="H14" s="61"/>
      <c r="I14" s="61"/>
      <c r="J14" s="61"/>
      <c r="K14" s="134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</row>
    <row r="15" spans="1:25" ht="20.100000000000001" customHeight="1">
      <c r="A15" s="63"/>
      <c r="B15" s="70"/>
      <c r="C15" s="136"/>
      <c r="D15" s="56"/>
      <c r="E15" s="78"/>
      <c r="F15" s="128"/>
      <c r="G15" s="128"/>
      <c r="H15" s="61"/>
      <c r="I15" s="61"/>
      <c r="J15" s="61"/>
      <c r="K15" s="134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</row>
    <row r="16" spans="1:25" ht="24">
      <c r="A16" s="63"/>
      <c r="B16" s="70"/>
      <c r="C16" s="136" t="s">
        <v>750</v>
      </c>
      <c r="D16" s="75" t="s">
        <v>742</v>
      </c>
      <c r="E16" s="76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Y16" s="57"/>
    </row>
    <row r="17" spans="1:25" ht="20.100000000000001" customHeight="1">
      <c r="A17" s="63"/>
      <c r="B17" s="70"/>
      <c r="C17" s="136" t="s">
        <v>751</v>
      </c>
      <c r="D17" s="56" t="s">
        <v>743</v>
      </c>
      <c r="E17" s="78"/>
      <c r="F17" s="128" t="s">
        <v>38</v>
      </c>
      <c r="G17" s="135"/>
      <c r="H17" s="128" t="s">
        <v>38</v>
      </c>
      <c r="I17" s="128" t="s">
        <v>38</v>
      </c>
      <c r="J17" s="128" t="s">
        <v>38</v>
      </c>
      <c r="K17" s="134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</row>
    <row r="18" spans="1:25" ht="20.100000000000001" customHeight="1">
      <c r="A18" s="63"/>
      <c r="B18" s="70"/>
      <c r="C18" s="136" t="s">
        <v>752</v>
      </c>
      <c r="D18" s="56" t="s">
        <v>682</v>
      </c>
      <c r="E18" s="78"/>
      <c r="F18" s="128"/>
      <c r="G18" s="128" t="s">
        <v>38</v>
      </c>
      <c r="H18" s="61"/>
      <c r="I18" s="61"/>
      <c r="J18" s="61"/>
      <c r="K18" s="134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</row>
    <row r="19" spans="1:25" ht="20.100000000000001" customHeight="1">
      <c r="A19" s="63"/>
      <c r="B19" s="70"/>
      <c r="C19" s="136"/>
      <c r="D19" s="56"/>
      <c r="E19" s="78"/>
      <c r="F19" s="128"/>
      <c r="G19" s="128"/>
      <c r="H19" s="61"/>
      <c r="I19" s="61"/>
      <c r="J19" s="61"/>
      <c r="K19" s="134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</row>
    <row r="20" spans="1:25" ht="12">
      <c r="A20" s="63"/>
      <c r="B20" s="70"/>
      <c r="C20" s="136" t="s">
        <v>378</v>
      </c>
      <c r="D20" s="75" t="s">
        <v>744</v>
      </c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Y20" s="57"/>
    </row>
    <row r="21" spans="1:25" ht="20.100000000000001" customHeight="1">
      <c r="A21" s="63"/>
      <c r="B21" s="70"/>
      <c r="C21" s="136" t="s">
        <v>753</v>
      </c>
      <c r="D21" s="56" t="s">
        <v>743</v>
      </c>
      <c r="E21" s="78"/>
      <c r="F21" s="128" t="s">
        <v>38</v>
      </c>
      <c r="G21" s="135"/>
      <c r="H21" s="128" t="s">
        <v>38</v>
      </c>
      <c r="I21" s="128" t="s">
        <v>38</v>
      </c>
      <c r="J21" s="128" t="s">
        <v>38</v>
      </c>
      <c r="K21" s="134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</row>
    <row r="22" spans="1:25" ht="20.100000000000001" customHeight="1">
      <c r="A22" s="63"/>
      <c r="B22" s="70"/>
      <c r="C22" s="136" t="s">
        <v>754</v>
      </c>
      <c r="D22" s="56" t="s">
        <v>682</v>
      </c>
      <c r="E22" s="78"/>
      <c r="F22" s="128"/>
      <c r="G22" s="128" t="s">
        <v>38</v>
      </c>
      <c r="H22" s="61"/>
      <c r="I22" s="61"/>
      <c r="J22" s="61"/>
      <c r="K22" s="134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</row>
    <row r="23" spans="1:25" ht="20.100000000000001" customHeight="1">
      <c r="A23" s="63"/>
      <c r="B23" s="70"/>
      <c r="C23" s="136"/>
      <c r="D23" s="56"/>
      <c r="E23" s="78"/>
      <c r="F23" s="128"/>
      <c r="G23" s="128"/>
      <c r="H23" s="61"/>
      <c r="I23" s="61"/>
      <c r="J23" s="61"/>
      <c r="K23" s="134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</row>
    <row r="24" spans="1:25" ht="23.25" customHeight="1">
      <c r="A24" s="63"/>
      <c r="B24" s="70"/>
      <c r="C24" s="136" t="s">
        <v>379</v>
      </c>
      <c r="D24" s="75" t="s">
        <v>745</v>
      </c>
      <c r="E24" s="76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Y24" s="57"/>
    </row>
    <row r="25" spans="1:25" ht="20.100000000000001" customHeight="1">
      <c r="A25" s="63"/>
      <c r="B25" s="70"/>
      <c r="C25" s="136" t="s">
        <v>755</v>
      </c>
      <c r="D25" s="56" t="s">
        <v>743</v>
      </c>
      <c r="E25" s="78"/>
      <c r="F25" s="128" t="s">
        <v>38</v>
      </c>
      <c r="G25" s="135"/>
      <c r="H25" s="128" t="s">
        <v>38</v>
      </c>
      <c r="I25" s="128" t="s">
        <v>38</v>
      </c>
      <c r="J25" s="128" t="s">
        <v>38</v>
      </c>
      <c r="K25" s="134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</row>
    <row r="26" spans="1:25" ht="20.100000000000001" customHeight="1">
      <c r="A26" s="63"/>
      <c r="B26" s="70"/>
      <c r="C26" s="136" t="s">
        <v>756</v>
      </c>
      <c r="D26" s="56" t="s">
        <v>682</v>
      </c>
      <c r="E26" s="78"/>
      <c r="F26" s="128"/>
      <c r="G26" s="128" t="s">
        <v>38</v>
      </c>
      <c r="H26" s="61"/>
      <c r="I26" s="61"/>
      <c r="J26" s="61"/>
      <c r="K26" s="134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</row>
    <row r="27" spans="1:25" ht="20.100000000000001" customHeight="1">
      <c r="A27" s="63"/>
      <c r="B27" s="70"/>
      <c r="C27" s="136"/>
      <c r="D27" s="56"/>
      <c r="E27" s="78"/>
      <c r="F27" s="128"/>
      <c r="G27" s="128"/>
      <c r="H27" s="61"/>
      <c r="I27" s="61"/>
      <c r="J27" s="61"/>
      <c r="K27" s="134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</row>
    <row r="28" spans="1:25" ht="24">
      <c r="A28" s="63"/>
      <c r="B28" s="70"/>
      <c r="C28" s="136" t="s">
        <v>757</v>
      </c>
      <c r="D28" s="75" t="s">
        <v>746</v>
      </c>
      <c r="E28" s="76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Y28" s="57"/>
    </row>
    <row r="29" spans="1:25" ht="20.100000000000001" customHeight="1">
      <c r="A29" s="63"/>
      <c r="B29" s="70"/>
      <c r="C29" s="136" t="s">
        <v>758</v>
      </c>
      <c r="D29" s="56" t="s">
        <v>743</v>
      </c>
      <c r="E29" s="78"/>
      <c r="F29" s="128" t="s">
        <v>38</v>
      </c>
      <c r="G29" s="135"/>
      <c r="H29" s="128" t="s">
        <v>38</v>
      </c>
      <c r="I29" s="128" t="s">
        <v>38</v>
      </c>
      <c r="J29" s="128" t="s">
        <v>38</v>
      </c>
      <c r="K29" s="134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</row>
    <row r="30" spans="1:25" ht="20.100000000000001" customHeight="1">
      <c r="A30" s="63"/>
      <c r="B30" s="70"/>
      <c r="C30" s="136" t="s">
        <v>759</v>
      </c>
      <c r="D30" s="56" t="s">
        <v>682</v>
      </c>
      <c r="E30" s="78"/>
      <c r="F30" s="128"/>
      <c r="G30" s="128" t="s">
        <v>38</v>
      </c>
      <c r="H30" s="61"/>
      <c r="I30" s="61"/>
      <c r="J30" s="61"/>
      <c r="K30" s="134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</row>
    <row r="31" spans="1:25" ht="20.100000000000001" customHeight="1">
      <c r="A31" s="63"/>
      <c r="B31" s="70"/>
      <c r="C31" s="136"/>
      <c r="D31" s="56"/>
      <c r="E31" s="78"/>
      <c r="F31" s="128"/>
      <c r="G31" s="128"/>
      <c r="H31" s="61"/>
      <c r="I31" s="61"/>
      <c r="J31" s="61"/>
      <c r="K31" s="134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</row>
    <row r="32" spans="1:25" ht="12">
      <c r="A32" s="63"/>
      <c r="B32" s="70"/>
      <c r="C32" s="136" t="s">
        <v>760</v>
      </c>
      <c r="D32" s="75" t="s">
        <v>748</v>
      </c>
      <c r="E32" s="76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Y32" s="57"/>
    </row>
    <row r="33" spans="1:25" ht="20.100000000000001" customHeight="1">
      <c r="A33" s="63"/>
      <c r="B33" s="70"/>
      <c r="C33" s="136" t="s">
        <v>761</v>
      </c>
      <c r="D33" s="56" t="s">
        <v>743</v>
      </c>
      <c r="E33" s="78"/>
      <c r="F33" s="128" t="s">
        <v>38</v>
      </c>
      <c r="G33" s="135"/>
      <c r="H33" s="128" t="s">
        <v>38</v>
      </c>
      <c r="I33" s="128" t="s">
        <v>38</v>
      </c>
      <c r="J33" s="128" t="s">
        <v>38</v>
      </c>
      <c r="K33" s="134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</row>
    <row r="34" spans="1:25" ht="20.100000000000001" customHeight="1">
      <c r="A34" s="63"/>
      <c r="B34" s="70"/>
      <c r="C34" s="136" t="s">
        <v>762</v>
      </c>
      <c r="D34" s="56" t="s">
        <v>682</v>
      </c>
      <c r="E34" s="78"/>
      <c r="F34" s="128"/>
      <c r="G34" s="128" t="s">
        <v>38</v>
      </c>
      <c r="H34" s="61"/>
      <c r="I34" s="61"/>
      <c r="J34" s="61"/>
      <c r="K34" s="134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</row>
    <row r="35" spans="1:25" ht="20.100000000000001" customHeight="1">
      <c r="A35" s="63"/>
      <c r="B35" s="70"/>
      <c r="C35" s="136"/>
      <c r="D35" s="56"/>
      <c r="E35" s="78"/>
      <c r="F35" s="128"/>
      <c r="G35" s="128"/>
      <c r="H35" s="61"/>
      <c r="I35" s="61"/>
      <c r="J35" s="61"/>
      <c r="K35" s="134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</row>
    <row r="36" spans="1:25" ht="12">
      <c r="A36" s="63"/>
      <c r="B36" s="70"/>
      <c r="C36" s="136" t="s">
        <v>763</v>
      </c>
      <c r="D36" s="75" t="s">
        <v>747</v>
      </c>
      <c r="E36" s="76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Y36" s="57"/>
    </row>
    <row r="37" spans="1:25" ht="20.100000000000001" customHeight="1">
      <c r="A37" s="63"/>
      <c r="B37" s="70"/>
      <c r="C37" s="136" t="s">
        <v>764</v>
      </c>
      <c r="D37" s="56" t="s">
        <v>743</v>
      </c>
      <c r="E37" s="78"/>
      <c r="F37" s="128" t="s">
        <v>38</v>
      </c>
      <c r="G37" s="128"/>
      <c r="H37" s="128" t="s">
        <v>38</v>
      </c>
      <c r="I37" s="128" t="s">
        <v>38</v>
      </c>
      <c r="J37" s="128" t="s">
        <v>38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</row>
    <row r="38" spans="1:25" ht="20.100000000000001" customHeight="1">
      <c r="A38" s="63"/>
      <c r="B38" s="70"/>
      <c r="C38" s="136" t="s">
        <v>765</v>
      </c>
      <c r="D38" s="56" t="s">
        <v>682</v>
      </c>
      <c r="E38" s="78"/>
      <c r="F38" s="61"/>
      <c r="G38" s="128" t="s">
        <v>38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</row>
    <row r="39" spans="1:25" ht="20.100000000000001" customHeight="1">
      <c r="A39" s="63"/>
      <c r="B39" s="70"/>
      <c r="C39" s="71"/>
      <c r="D39" s="56"/>
      <c r="E39" s="78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</row>
    <row r="40" spans="1:25" ht="20.100000000000001" customHeight="1">
      <c r="A40" s="63"/>
      <c r="B40" s="70"/>
      <c r="C40" s="71"/>
      <c r="D40" s="56"/>
      <c r="E40" s="78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</row>
    <row r="41" spans="1:25" ht="20.100000000000001" customHeight="1">
      <c r="A41" s="63"/>
      <c r="B41" s="70"/>
      <c r="C41" s="71"/>
      <c r="D41" s="79"/>
      <c r="E41" s="78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</row>
    <row r="42" spans="1:25" ht="9.9499999999999993" customHeight="1">
      <c r="A42" s="63"/>
      <c r="B42" s="81"/>
      <c r="C42" s="82"/>
      <c r="D42" s="83"/>
      <c r="E42" s="83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5"/>
    </row>
    <row r="43" spans="1:25" ht="20.100000000000001" customHeight="1">
      <c r="A43" s="63"/>
      <c r="B43" s="64"/>
      <c r="C43" s="18" t="s">
        <v>31</v>
      </c>
      <c r="D43" s="28" t="s">
        <v>34</v>
      </c>
      <c r="E43" s="67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9"/>
    </row>
    <row r="44" spans="1:25" ht="20.100000000000001" customHeight="1">
      <c r="A44" s="63"/>
      <c r="B44" s="70"/>
      <c r="C44" s="71" t="s">
        <v>220</v>
      </c>
      <c r="D44" s="38" t="s">
        <v>53</v>
      </c>
      <c r="E44" s="73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spans="1:25" ht="30" customHeight="1">
      <c r="A45" s="63"/>
      <c r="B45" s="70"/>
      <c r="C45" s="71" t="s">
        <v>244</v>
      </c>
      <c r="D45" s="103" t="s">
        <v>366</v>
      </c>
      <c r="E45" s="78"/>
      <c r="F45" s="61" t="s">
        <v>38</v>
      </c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</row>
    <row r="46" spans="1:25" ht="30" customHeight="1">
      <c r="A46" s="63"/>
      <c r="B46" s="70"/>
      <c r="C46" s="71" t="s">
        <v>245</v>
      </c>
      <c r="D46" s="103" t="s">
        <v>731</v>
      </c>
      <c r="E46" s="78"/>
      <c r="F46" s="61"/>
      <c r="G46" s="61" t="s">
        <v>38</v>
      </c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</row>
    <row r="47" spans="1:25" ht="30" customHeight="1">
      <c r="A47" s="63"/>
      <c r="B47" s="70"/>
      <c r="C47" s="71" t="s">
        <v>246</v>
      </c>
      <c r="D47" s="103" t="s">
        <v>732</v>
      </c>
      <c r="E47" s="78"/>
      <c r="F47" s="61"/>
      <c r="G47" s="61"/>
      <c r="H47" s="61" t="s">
        <v>38</v>
      </c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</row>
    <row r="48" spans="1:25" ht="30" customHeight="1">
      <c r="A48" s="63"/>
      <c r="B48" s="70"/>
      <c r="C48" s="71" t="s">
        <v>247</v>
      </c>
      <c r="D48" s="103" t="s">
        <v>733</v>
      </c>
      <c r="E48" s="78"/>
      <c r="F48" s="61"/>
      <c r="G48" s="61"/>
      <c r="H48" s="61"/>
      <c r="I48" s="61" t="s">
        <v>38</v>
      </c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</row>
    <row r="49" spans="1:23" ht="30" customHeight="1">
      <c r="A49" s="63"/>
      <c r="B49" s="70"/>
      <c r="C49" s="71" t="s">
        <v>248</v>
      </c>
      <c r="D49" s="103" t="s">
        <v>734</v>
      </c>
      <c r="E49" s="78"/>
      <c r="F49" s="61"/>
      <c r="G49" s="61"/>
      <c r="H49" s="61"/>
      <c r="I49" s="61"/>
      <c r="J49" s="61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</row>
    <row r="50" spans="1:23" ht="30" customHeight="1">
      <c r="A50" s="63"/>
      <c r="B50" s="70"/>
      <c r="C50" s="71"/>
      <c r="D50" s="86"/>
      <c r="E50" s="78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</row>
    <row r="51" spans="1:23" ht="30" customHeight="1">
      <c r="A51" s="63"/>
      <c r="B51" s="70"/>
      <c r="C51" s="71"/>
      <c r="D51" s="86"/>
      <c r="E51" s="78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</row>
    <row r="52" spans="1:23" ht="9.9499999999999993" customHeight="1">
      <c r="A52" s="63"/>
      <c r="B52" s="81"/>
      <c r="C52" s="82"/>
      <c r="D52" s="83"/>
      <c r="E52" s="83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5"/>
    </row>
    <row r="53" spans="1:23" ht="20.100000000000001" customHeight="1">
      <c r="A53" s="63"/>
      <c r="B53" s="29"/>
      <c r="C53" s="18" t="s">
        <v>31</v>
      </c>
      <c r="D53" s="30" t="s">
        <v>35</v>
      </c>
      <c r="E53" s="67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9"/>
    </row>
    <row r="54" spans="1:23" ht="15" customHeight="1">
      <c r="A54" s="63"/>
      <c r="B54" s="25" t="s">
        <v>27</v>
      </c>
      <c r="C54" s="19">
        <v>1</v>
      </c>
      <c r="D54" s="20"/>
      <c r="E54" s="21" t="s">
        <v>36</v>
      </c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</row>
    <row r="55" spans="1:23" ht="15" customHeight="1">
      <c r="A55" s="63"/>
      <c r="B55" s="25"/>
      <c r="C55" s="19"/>
      <c r="D55" s="22"/>
      <c r="E55" s="23" t="s">
        <v>37</v>
      </c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</row>
    <row r="56" spans="1:23" ht="15" customHeight="1">
      <c r="A56" s="63"/>
      <c r="B56" s="87"/>
      <c r="C56" s="90"/>
      <c r="D56" s="91"/>
      <c r="E56" s="21" t="s">
        <v>36</v>
      </c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</row>
    <row r="57" spans="1:23" ht="15" customHeight="1">
      <c r="A57" s="63"/>
      <c r="B57" s="87"/>
      <c r="C57" s="92"/>
      <c r="D57" s="93"/>
      <c r="E57" s="23" t="s">
        <v>37</v>
      </c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</row>
    <row r="58" spans="1:23" ht="15" customHeight="1">
      <c r="A58" s="63"/>
      <c r="B58" s="87"/>
      <c r="C58" s="90"/>
      <c r="D58" s="91"/>
      <c r="E58" s="21" t="s">
        <v>36</v>
      </c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</row>
    <row r="59" spans="1:23" ht="15" customHeight="1">
      <c r="A59" s="63"/>
      <c r="B59" s="87"/>
      <c r="C59" s="92"/>
      <c r="D59" s="93"/>
      <c r="E59" s="23" t="s">
        <v>37</v>
      </c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</row>
    <row r="60" spans="1:23" ht="15" customHeight="1">
      <c r="A60" s="63"/>
      <c r="B60" s="87"/>
      <c r="C60" s="90"/>
      <c r="D60" s="91"/>
      <c r="E60" s="21" t="s">
        <v>36</v>
      </c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</row>
    <row r="61" spans="1:23" ht="15" customHeight="1">
      <c r="A61" s="63"/>
      <c r="B61" s="87"/>
      <c r="C61" s="92"/>
      <c r="D61" s="93"/>
      <c r="E61" s="23" t="s">
        <v>37</v>
      </c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</row>
    <row r="62" spans="1:23" ht="15" customHeight="1">
      <c r="A62" s="63"/>
      <c r="B62" s="87"/>
      <c r="C62" s="90"/>
      <c r="D62" s="91"/>
      <c r="E62" s="21" t="s">
        <v>36</v>
      </c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</row>
    <row r="63" spans="1:23" ht="15" customHeight="1">
      <c r="A63" s="63"/>
      <c r="B63" s="87"/>
      <c r="C63" s="92"/>
      <c r="D63" s="93"/>
      <c r="E63" s="23" t="s">
        <v>37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</row>
    <row r="64" spans="1:23" ht="15" customHeight="1">
      <c r="A64" s="63"/>
      <c r="B64" s="87"/>
      <c r="C64" s="90"/>
      <c r="D64" s="91"/>
      <c r="E64" s="21" t="s">
        <v>36</v>
      </c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</row>
    <row r="65" spans="1:23" ht="15" customHeight="1">
      <c r="A65" s="63"/>
      <c r="B65" s="87"/>
      <c r="C65" s="92"/>
      <c r="D65" s="93"/>
      <c r="E65" s="23" t="s">
        <v>37</v>
      </c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</row>
    <row r="66" spans="1:23" ht="15" customHeight="1">
      <c r="A66" s="63"/>
      <c r="B66" s="87"/>
      <c r="C66" s="90"/>
      <c r="D66" s="91"/>
      <c r="E66" s="21" t="s">
        <v>36</v>
      </c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</row>
    <row r="67" spans="1:23" ht="15" customHeight="1">
      <c r="A67" s="63"/>
      <c r="B67" s="87"/>
      <c r="C67" s="92"/>
      <c r="D67" s="93"/>
      <c r="E67" s="23" t="s">
        <v>37</v>
      </c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</row>
    <row r="68" spans="1:23" ht="15" customHeight="1">
      <c r="A68" s="63"/>
      <c r="B68" s="87"/>
      <c r="C68" s="90"/>
      <c r="D68" s="91"/>
      <c r="E68" s="21" t="s">
        <v>36</v>
      </c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</row>
    <row r="69" spans="1:23" ht="15" customHeight="1">
      <c r="A69" s="63"/>
      <c r="B69" s="87"/>
      <c r="C69" s="92"/>
      <c r="D69" s="93"/>
      <c r="E69" s="23" t="s">
        <v>37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</row>
    <row r="70" spans="1:23" ht="9.9499999999999993" customHeight="1">
      <c r="A70" s="63"/>
      <c r="B70" s="81"/>
      <c r="C70" s="82"/>
      <c r="D70" s="83"/>
      <c r="E70" s="83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5"/>
    </row>
    <row r="71" spans="1:23" ht="20.100000000000001" customHeight="1">
      <c r="B71" s="94"/>
      <c r="C71" s="83"/>
      <c r="D71" s="83"/>
      <c r="E71" s="69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</row>
    <row r="72" spans="1:23" ht="237" customHeight="1"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9"/>
    </row>
  </sheetData>
  <phoneticPr fontId="6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C753-6AF9-4B17-9CDB-AC5EB828953F}">
  <dimension ref="A3:AI115"/>
  <sheetViews>
    <sheetView tabSelected="1" zoomScaleNormal="100" workbookViewId="0"/>
  </sheetViews>
  <sheetFormatPr defaultRowHeight="13.5"/>
  <cols>
    <col min="1" max="2" width="9" style="100"/>
    <col min="3" max="3" width="11.75" style="100" customWidth="1"/>
    <col min="4" max="8" width="9" style="100"/>
    <col min="9" max="9" width="12.75" style="100" customWidth="1"/>
    <col min="10" max="10" width="17.75" style="100" customWidth="1"/>
    <col min="11" max="11" width="9.5" style="100" bestFit="1" customWidth="1"/>
    <col min="12" max="12" width="17.625" style="100" customWidth="1"/>
    <col min="13" max="13" width="16" style="100" customWidth="1"/>
    <col min="14" max="15" width="17.25" style="100" bestFit="1" customWidth="1"/>
    <col min="16" max="16" width="18.375" style="100" bestFit="1" customWidth="1"/>
    <col min="17" max="17" width="18.875" style="100" customWidth="1"/>
    <col min="18" max="18" width="15.125" style="100" customWidth="1"/>
    <col min="19" max="16384" width="9" style="100"/>
  </cols>
  <sheetData>
    <row r="3" spans="1:28">
      <c r="B3" s="101" t="s">
        <v>770</v>
      </c>
    </row>
    <row r="4" spans="1:28">
      <c r="B4" s="102" t="s">
        <v>293</v>
      </c>
      <c r="C4" s="102" t="s">
        <v>294</v>
      </c>
      <c r="D4" s="102" t="s">
        <v>295</v>
      </c>
      <c r="E4" s="102" t="s">
        <v>296</v>
      </c>
      <c r="F4" s="102" t="s">
        <v>297</v>
      </c>
      <c r="G4" s="102" t="s">
        <v>298</v>
      </c>
      <c r="H4" s="119" t="s">
        <v>387</v>
      </c>
      <c r="I4" s="126" t="s">
        <v>388</v>
      </c>
      <c r="J4" s="126" t="s">
        <v>304</v>
      </c>
      <c r="K4" s="126" t="s">
        <v>644</v>
      </c>
      <c r="L4" s="126" t="s">
        <v>390</v>
      </c>
      <c r="M4" s="126" t="s">
        <v>652</v>
      </c>
      <c r="N4" s="102" t="s">
        <v>448</v>
      </c>
      <c r="O4" s="129" t="s">
        <v>442</v>
      </c>
      <c r="P4" s="102" t="s">
        <v>389</v>
      </c>
      <c r="Q4" s="129" t="s">
        <v>653</v>
      </c>
      <c r="R4" s="102" t="s">
        <v>654</v>
      </c>
      <c r="S4" s="102" t="s">
        <v>655</v>
      </c>
      <c r="T4" s="102" t="s">
        <v>656</v>
      </c>
      <c r="U4" s="102" t="s">
        <v>657</v>
      </c>
      <c r="V4" s="102" t="s">
        <v>658</v>
      </c>
      <c r="W4" s="102" t="s">
        <v>659</v>
      </c>
      <c r="X4" s="102" t="s">
        <v>660</v>
      </c>
      <c r="Y4" s="102" t="s">
        <v>661</v>
      </c>
      <c r="Z4" s="102" t="s">
        <v>662</v>
      </c>
      <c r="AA4" s="102" t="s">
        <v>663</v>
      </c>
      <c r="AB4" s="102" t="s">
        <v>664</v>
      </c>
    </row>
    <row r="5" spans="1:28">
      <c r="B5" s="102" t="s">
        <v>308</v>
      </c>
      <c r="C5" s="102" t="s">
        <v>309</v>
      </c>
      <c r="D5" s="102" t="s">
        <v>310</v>
      </c>
      <c r="E5" s="102" t="s">
        <v>311</v>
      </c>
      <c r="F5" s="102" t="s">
        <v>312</v>
      </c>
      <c r="G5" s="102" t="s">
        <v>313</v>
      </c>
      <c r="H5" s="119" t="s">
        <v>398</v>
      </c>
      <c r="I5" s="119" t="s">
        <v>399</v>
      </c>
      <c r="J5" s="119" t="s">
        <v>319</v>
      </c>
      <c r="K5" s="119" t="s">
        <v>665</v>
      </c>
      <c r="L5" s="119" t="s">
        <v>401</v>
      </c>
      <c r="M5" s="119" t="s">
        <v>666</v>
      </c>
      <c r="N5" s="102" t="s">
        <v>449</v>
      </c>
      <c r="O5" s="102" t="s">
        <v>443</v>
      </c>
      <c r="P5" s="102" t="s">
        <v>400</v>
      </c>
      <c r="Q5" s="102" t="s">
        <v>667</v>
      </c>
      <c r="R5" s="102" t="s">
        <v>668</v>
      </c>
      <c r="S5" s="102" t="s">
        <v>669</v>
      </c>
      <c r="T5" s="102" t="s">
        <v>670</v>
      </c>
      <c r="U5" s="102" t="s">
        <v>671</v>
      </c>
      <c r="V5" s="102" t="s">
        <v>672</v>
      </c>
      <c r="W5" s="102" t="s">
        <v>673</v>
      </c>
      <c r="X5" s="102" t="s">
        <v>674</v>
      </c>
      <c r="Y5" s="102" t="s">
        <v>675</v>
      </c>
      <c r="Z5" s="102" t="s">
        <v>676</v>
      </c>
      <c r="AA5" s="102" t="s">
        <v>677</v>
      </c>
      <c r="AB5" s="102" t="s">
        <v>678</v>
      </c>
    </row>
    <row r="6" spans="1:28">
      <c r="B6" s="102" t="s">
        <v>323</v>
      </c>
      <c r="C6" s="102" t="s">
        <v>324</v>
      </c>
      <c r="D6" s="102" t="s">
        <v>325</v>
      </c>
      <c r="E6" s="102" t="s">
        <v>326</v>
      </c>
      <c r="F6" s="102" t="s">
        <v>326</v>
      </c>
      <c r="G6" s="102" t="s">
        <v>327</v>
      </c>
      <c r="H6" s="119" t="s">
        <v>409</v>
      </c>
      <c r="I6" s="119" t="s">
        <v>409</v>
      </c>
      <c r="J6" s="119" t="s">
        <v>327</v>
      </c>
      <c r="K6" s="119" t="s">
        <v>327</v>
      </c>
      <c r="L6" s="119" t="s">
        <v>327</v>
      </c>
      <c r="M6" s="119" t="s">
        <v>327</v>
      </c>
      <c r="N6" s="102" t="s">
        <v>327</v>
      </c>
      <c r="O6" s="102" t="s">
        <v>327</v>
      </c>
      <c r="P6" s="102" t="s">
        <v>327</v>
      </c>
      <c r="Q6" s="102" t="s">
        <v>327</v>
      </c>
      <c r="R6" s="102" t="s">
        <v>327</v>
      </c>
      <c r="S6" s="102" t="s">
        <v>409</v>
      </c>
      <c r="T6" s="102" t="s">
        <v>409</v>
      </c>
      <c r="U6" s="102" t="s">
        <v>409</v>
      </c>
      <c r="V6" s="102" t="s">
        <v>409</v>
      </c>
      <c r="W6" s="102" t="s">
        <v>409</v>
      </c>
      <c r="X6" s="102" t="s">
        <v>409</v>
      </c>
      <c r="Y6" s="102" t="s">
        <v>409</v>
      </c>
      <c r="Z6" s="102" t="s">
        <v>409</v>
      </c>
      <c r="AA6" s="102" t="s">
        <v>409</v>
      </c>
      <c r="AB6" s="102" t="s">
        <v>409</v>
      </c>
    </row>
    <row r="7" spans="1:28">
      <c r="B7" s="102" t="s">
        <v>328</v>
      </c>
      <c r="C7" s="102">
        <v>1</v>
      </c>
      <c r="D7" s="102"/>
      <c r="E7" s="102"/>
      <c r="F7" s="102"/>
      <c r="G7" s="102">
        <v>8</v>
      </c>
      <c r="H7" s="119">
        <v>4</v>
      </c>
      <c r="I7" s="119">
        <v>6</v>
      </c>
      <c r="J7" s="119">
        <v>2</v>
      </c>
      <c r="K7" s="119">
        <v>1</v>
      </c>
      <c r="L7" s="119">
        <v>4</v>
      </c>
      <c r="M7" s="119">
        <v>4</v>
      </c>
      <c r="N7" s="102">
        <v>3</v>
      </c>
      <c r="O7" s="102">
        <v>3</v>
      </c>
      <c r="P7" s="102">
        <v>6</v>
      </c>
      <c r="Q7" s="102">
        <v>2</v>
      </c>
      <c r="R7" s="102">
        <v>1</v>
      </c>
      <c r="S7" s="102">
        <v>13</v>
      </c>
      <c r="T7" s="102">
        <v>13</v>
      </c>
      <c r="U7" s="102">
        <v>13</v>
      </c>
      <c r="V7" s="102">
        <v>13</v>
      </c>
      <c r="W7" s="102">
        <v>13</v>
      </c>
      <c r="X7" s="102">
        <v>13</v>
      </c>
      <c r="Y7" s="102">
        <v>13</v>
      </c>
      <c r="Z7" s="102">
        <v>13</v>
      </c>
      <c r="AA7" s="102">
        <v>13</v>
      </c>
      <c r="AB7" s="102">
        <v>13</v>
      </c>
    </row>
    <row r="8" spans="1:28">
      <c r="B8" s="102" t="s">
        <v>329</v>
      </c>
      <c r="C8" s="102"/>
      <c r="D8" s="102"/>
      <c r="E8" s="102"/>
      <c r="F8" s="102"/>
      <c r="G8" s="102"/>
      <c r="H8" s="119"/>
      <c r="I8" s="119"/>
      <c r="J8" s="119"/>
      <c r="K8" s="119"/>
      <c r="L8" s="119"/>
      <c r="M8" s="119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</row>
    <row r="9" spans="1:28">
      <c r="B9" s="102" t="s">
        <v>330</v>
      </c>
      <c r="C9" s="102"/>
      <c r="D9" s="102"/>
      <c r="E9" s="102"/>
      <c r="F9" s="102"/>
      <c r="G9" s="102"/>
      <c r="H9" s="119"/>
      <c r="I9" s="119"/>
      <c r="J9" s="119"/>
      <c r="K9" s="119"/>
      <c r="L9" s="119"/>
      <c r="M9" s="119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</row>
    <row r="10" spans="1:28">
      <c r="B10" s="102" t="s">
        <v>331</v>
      </c>
      <c r="C10" s="102"/>
      <c r="D10" s="102"/>
      <c r="E10" s="102"/>
      <c r="F10" s="102"/>
      <c r="G10" s="102"/>
      <c r="H10" s="119">
        <v>1</v>
      </c>
      <c r="I10" s="119">
        <v>2</v>
      </c>
      <c r="J10" s="119">
        <v>3</v>
      </c>
      <c r="K10" s="119">
        <v>4</v>
      </c>
      <c r="L10" s="119">
        <v>5</v>
      </c>
      <c r="M10" s="119">
        <v>6</v>
      </c>
      <c r="N10" s="102"/>
      <c r="O10" s="102"/>
      <c r="P10" s="102">
        <v>7</v>
      </c>
      <c r="Q10" s="102">
        <v>8</v>
      </c>
      <c r="R10" s="102">
        <v>9</v>
      </c>
      <c r="S10" s="102"/>
      <c r="T10" s="102"/>
      <c r="U10" s="102"/>
      <c r="V10" s="102"/>
      <c r="W10" s="102"/>
      <c r="X10" s="102"/>
      <c r="Y10" s="102"/>
      <c r="Z10" s="102"/>
      <c r="AA10" s="102"/>
      <c r="AB10" s="102"/>
    </row>
    <row r="11" spans="1:28">
      <c r="B11" s="102" t="s">
        <v>332</v>
      </c>
      <c r="C11" s="102">
        <v>0</v>
      </c>
      <c r="D11" s="102">
        <v>0</v>
      </c>
      <c r="E11" s="102"/>
      <c r="F11" s="102"/>
      <c r="G11" s="102"/>
      <c r="H11" s="119"/>
      <c r="I11" s="119"/>
      <c r="J11" s="119"/>
      <c r="K11" s="119"/>
      <c r="L11" s="119"/>
      <c r="M11" s="119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</row>
    <row r="12" spans="1:28">
      <c r="B12" s="110" t="s">
        <v>333</v>
      </c>
      <c r="C12" s="110" t="s">
        <v>334</v>
      </c>
      <c r="D12" s="110" t="s">
        <v>334</v>
      </c>
      <c r="E12" s="110" t="s">
        <v>334</v>
      </c>
      <c r="F12" s="110" t="s">
        <v>334</v>
      </c>
      <c r="G12" s="110" t="s">
        <v>334</v>
      </c>
      <c r="H12" s="120" t="s">
        <v>334</v>
      </c>
      <c r="I12" s="120" t="s">
        <v>334</v>
      </c>
      <c r="J12" s="120" t="s">
        <v>334</v>
      </c>
      <c r="K12" s="120" t="s">
        <v>334</v>
      </c>
      <c r="L12" s="120" t="s">
        <v>334</v>
      </c>
      <c r="M12" s="120" t="s">
        <v>334</v>
      </c>
      <c r="N12" s="110" t="s">
        <v>334</v>
      </c>
      <c r="O12" s="110" t="s">
        <v>334</v>
      </c>
      <c r="P12" s="110" t="s">
        <v>334</v>
      </c>
      <c r="Q12" s="110" t="s">
        <v>334</v>
      </c>
      <c r="R12" s="110" t="s">
        <v>334</v>
      </c>
      <c r="S12" s="110"/>
      <c r="T12" s="110"/>
      <c r="U12" s="110"/>
      <c r="V12" s="110"/>
      <c r="W12" s="110"/>
      <c r="X12" s="110"/>
      <c r="Y12" s="110"/>
      <c r="Z12" s="110"/>
      <c r="AA12" s="110"/>
      <c r="AB12" s="110"/>
    </row>
    <row r="13" spans="1:28">
      <c r="B13" s="108" t="s">
        <v>683</v>
      </c>
      <c r="C13" s="108" t="s">
        <v>81</v>
      </c>
      <c r="D13" s="108" t="s">
        <v>81</v>
      </c>
      <c r="E13" s="108" t="s">
        <v>679</v>
      </c>
      <c r="F13" s="108" t="s">
        <v>679</v>
      </c>
      <c r="G13" s="108" t="s">
        <v>543</v>
      </c>
      <c r="H13" s="108" t="s">
        <v>544</v>
      </c>
      <c r="I13" s="113" t="s">
        <v>598</v>
      </c>
      <c r="J13" s="113" t="s">
        <v>524</v>
      </c>
      <c r="K13" s="108" t="s">
        <v>680</v>
      </c>
      <c r="L13" s="108" t="s">
        <v>641</v>
      </c>
      <c r="M13" s="108" t="s">
        <v>698</v>
      </c>
      <c r="N13" s="108" t="s">
        <v>553</v>
      </c>
      <c r="O13" s="108" t="s">
        <v>640</v>
      </c>
      <c r="P13" s="108" t="s">
        <v>81</v>
      </c>
      <c r="Q13" s="108" t="s">
        <v>599</v>
      </c>
      <c r="R13" s="108" t="s">
        <v>81</v>
      </c>
      <c r="S13" s="108" t="s">
        <v>81</v>
      </c>
      <c r="T13" s="108" t="s">
        <v>81</v>
      </c>
      <c r="U13" s="108" t="s">
        <v>81</v>
      </c>
      <c r="V13" s="108" t="s">
        <v>81</v>
      </c>
      <c r="W13" s="108" t="s">
        <v>81</v>
      </c>
      <c r="X13" s="108" t="s">
        <v>81</v>
      </c>
      <c r="Y13" s="108" t="s">
        <v>81</v>
      </c>
      <c r="Z13" s="108" t="s">
        <v>81</v>
      </c>
      <c r="AA13" s="108" t="s">
        <v>81</v>
      </c>
      <c r="AB13" s="108" t="s">
        <v>81</v>
      </c>
    </row>
    <row r="14" spans="1:28" ht="18">
      <c r="A14" s="115" t="s">
        <v>686</v>
      </c>
      <c r="B14" s="108" t="s">
        <v>342</v>
      </c>
      <c r="C14" s="108" t="s">
        <v>81</v>
      </c>
      <c r="D14" s="108" t="s">
        <v>81</v>
      </c>
      <c r="E14" s="108" t="s">
        <v>679</v>
      </c>
      <c r="F14" s="108" t="s">
        <v>679</v>
      </c>
      <c r="G14" s="108" t="s">
        <v>543</v>
      </c>
      <c r="H14" s="108" t="s">
        <v>544</v>
      </c>
      <c r="I14" s="113" t="s">
        <v>598</v>
      </c>
      <c r="J14" s="113" t="s">
        <v>524</v>
      </c>
      <c r="K14" s="132" t="s">
        <v>720</v>
      </c>
      <c r="L14" s="108" t="s">
        <v>641</v>
      </c>
      <c r="M14" s="108" t="s">
        <v>698</v>
      </c>
      <c r="N14" s="108" t="s">
        <v>553</v>
      </c>
      <c r="O14" s="108" t="s">
        <v>640</v>
      </c>
      <c r="P14" s="108" t="s">
        <v>81</v>
      </c>
      <c r="Q14" s="108" t="s">
        <v>599</v>
      </c>
      <c r="R14" s="108" t="s">
        <v>81</v>
      </c>
      <c r="S14" s="108" t="s">
        <v>681</v>
      </c>
      <c r="T14" s="108" t="s">
        <v>681</v>
      </c>
      <c r="U14" s="108" t="s">
        <v>681</v>
      </c>
      <c r="V14" s="108" t="s">
        <v>681</v>
      </c>
      <c r="W14" s="108" t="s">
        <v>681</v>
      </c>
      <c r="X14" s="108" t="s">
        <v>681</v>
      </c>
      <c r="Y14" s="108" t="s">
        <v>681</v>
      </c>
      <c r="Z14" s="108" t="s">
        <v>681</v>
      </c>
      <c r="AA14" s="108" t="s">
        <v>681</v>
      </c>
      <c r="AB14" s="108" t="s">
        <v>681</v>
      </c>
    </row>
    <row r="15" spans="1:28">
      <c r="B15" s="108" t="s">
        <v>342</v>
      </c>
      <c r="C15" s="108" t="s">
        <v>81</v>
      </c>
      <c r="D15" s="108" t="s">
        <v>81</v>
      </c>
      <c r="E15" s="108" t="s">
        <v>679</v>
      </c>
      <c r="F15" s="108" t="s">
        <v>679</v>
      </c>
      <c r="G15" s="108" t="s">
        <v>543</v>
      </c>
      <c r="H15" s="108" t="s">
        <v>544</v>
      </c>
      <c r="I15" s="113" t="s">
        <v>598</v>
      </c>
      <c r="J15" s="113" t="s">
        <v>524</v>
      </c>
      <c r="K15" s="108" t="s">
        <v>680</v>
      </c>
      <c r="L15" s="132" t="s">
        <v>547</v>
      </c>
      <c r="M15" s="108" t="s">
        <v>698</v>
      </c>
      <c r="N15" s="108" t="s">
        <v>553</v>
      </c>
      <c r="O15" s="108" t="s">
        <v>640</v>
      </c>
      <c r="P15" s="108" t="s">
        <v>81</v>
      </c>
      <c r="Q15" s="108" t="s">
        <v>599</v>
      </c>
      <c r="R15" s="108" t="s">
        <v>81</v>
      </c>
      <c r="S15" s="108" t="s">
        <v>81</v>
      </c>
      <c r="T15" s="108" t="s">
        <v>81</v>
      </c>
      <c r="U15" s="108" t="s">
        <v>81</v>
      </c>
      <c r="V15" s="108" t="s">
        <v>81</v>
      </c>
      <c r="W15" s="108" t="s">
        <v>81</v>
      </c>
      <c r="X15" s="108" t="s">
        <v>81</v>
      </c>
      <c r="Y15" s="108" t="s">
        <v>81</v>
      </c>
      <c r="Z15" s="108" t="s">
        <v>81</v>
      </c>
      <c r="AA15" s="108" t="s">
        <v>81</v>
      </c>
      <c r="AB15" s="108" t="s">
        <v>81</v>
      </c>
    </row>
    <row r="16" spans="1:28">
      <c r="B16" s="108" t="s">
        <v>342</v>
      </c>
      <c r="C16" s="108" t="s">
        <v>81</v>
      </c>
      <c r="D16" s="108" t="s">
        <v>81</v>
      </c>
      <c r="E16" s="108" t="s">
        <v>679</v>
      </c>
      <c r="F16" s="108" t="s">
        <v>679</v>
      </c>
      <c r="G16" s="108" t="s">
        <v>543</v>
      </c>
      <c r="H16" s="108" t="s">
        <v>544</v>
      </c>
      <c r="I16" s="113" t="s">
        <v>598</v>
      </c>
      <c r="J16" s="113" t="s">
        <v>524</v>
      </c>
      <c r="K16" s="108" t="s">
        <v>680</v>
      </c>
      <c r="L16" s="108" t="s">
        <v>641</v>
      </c>
      <c r="M16" s="132" t="s">
        <v>699</v>
      </c>
      <c r="N16" s="108" t="s">
        <v>553</v>
      </c>
      <c r="O16" s="108" t="s">
        <v>640</v>
      </c>
      <c r="P16" s="108" t="s">
        <v>81</v>
      </c>
      <c r="Q16" s="108" t="s">
        <v>599</v>
      </c>
      <c r="R16" s="108" t="s">
        <v>81</v>
      </c>
      <c r="S16" s="108" t="s">
        <v>81</v>
      </c>
      <c r="T16" s="108" t="s">
        <v>81</v>
      </c>
      <c r="U16" s="108" t="s">
        <v>81</v>
      </c>
      <c r="V16" s="108" t="s">
        <v>81</v>
      </c>
      <c r="W16" s="108" t="s">
        <v>81</v>
      </c>
      <c r="X16" s="108" t="s">
        <v>81</v>
      </c>
      <c r="Y16" s="108" t="s">
        <v>81</v>
      </c>
      <c r="Z16" s="108" t="s">
        <v>81</v>
      </c>
      <c r="AA16" s="108" t="s">
        <v>81</v>
      </c>
      <c r="AB16" s="108" t="s">
        <v>81</v>
      </c>
    </row>
    <row r="17" spans="2:28">
      <c r="B17" s="108" t="s">
        <v>342</v>
      </c>
      <c r="C17" s="108" t="s">
        <v>81</v>
      </c>
      <c r="D17" s="108" t="s">
        <v>81</v>
      </c>
      <c r="E17" s="108" t="s">
        <v>679</v>
      </c>
      <c r="F17" s="108" t="s">
        <v>679</v>
      </c>
      <c r="G17" s="108" t="s">
        <v>543</v>
      </c>
      <c r="H17" s="108" t="s">
        <v>687</v>
      </c>
      <c r="I17" s="113" t="s">
        <v>598</v>
      </c>
      <c r="J17" s="113" t="s">
        <v>524</v>
      </c>
      <c r="K17" s="108" t="s">
        <v>680</v>
      </c>
      <c r="L17" s="108" t="s">
        <v>641</v>
      </c>
      <c r="M17" s="108" t="s">
        <v>698</v>
      </c>
      <c r="N17" s="108" t="s">
        <v>553</v>
      </c>
      <c r="O17" s="108" t="s">
        <v>721</v>
      </c>
      <c r="P17" s="108" t="s">
        <v>81</v>
      </c>
      <c r="Q17" s="108" t="s">
        <v>599</v>
      </c>
      <c r="R17" s="108" t="s">
        <v>81</v>
      </c>
      <c r="S17" s="108" t="s">
        <v>81</v>
      </c>
      <c r="T17" s="108" t="s">
        <v>81</v>
      </c>
      <c r="U17" s="108" t="s">
        <v>81</v>
      </c>
      <c r="V17" s="108" t="s">
        <v>81</v>
      </c>
      <c r="W17" s="108" t="s">
        <v>81</v>
      </c>
      <c r="X17" s="108" t="s">
        <v>81</v>
      </c>
      <c r="Y17" s="108" t="s">
        <v>81</v>
      </c>
      <c r="Z17" s="108" t="s">
        <v>81</v>
      </c>
      <c r="AA17" s="108" t="s">
        <v>81</v>
      </c>
      <c r="AB17" s="108" t="s">
        <v>81</v>
      </c>
    </row>
    <row r="18" spans="2:28">
      <c r="B18" s="108" t="s">
        <v>342</v>
      </c>
      <c r="C18" s="108" t="s">
        <v>81</v>
      </c>
      <c r="D18" s="108" t="s">
        <v>81</v>
      </c>
      <c r="E18" s="108" t="s">
        <v>679</v>
      </c>
      <c r="F18" s="108" t="s">
        <v>679</v>
      </c>
      <c r="G18" s="108" t="s">
        <v>543</v>
      </c>
      <c r="H18" s="108" t="s">
        <v>687</v>
      </c>
      <c r="I18" s="113" t="s">
        <v>598</v>
      </c>
      <c r="J18" s="113" t="s">
        <v>524</v>
      </c>
      <c r="K18" s="108" t="s">
        <v>680</v>
      </c>
      <c r="L18" s="108" t="s">
        <v>641</v>
      </c>
      <c r="M18" s="108" t="s">
        <v>698</v>
      </c>
      <c r="N18" s="108" t="s">
        <v>553</v>
      </c>
      <c r="O18" s="108" t="s">
        <v>640</v>
      </c>
      <c r="P18" s="108" t="s">
        <v>81</v>
      </c>
      <c r="Q18" s="108" t="s">
        <v>600</v>
      </c>
      <c r="R18" s="108" t="s">
        <v>81</v>
      </c>
      <c r="S18" s="108" t="s">
        <v>81</v>
      </c>
      <c r="T18" s="108" t="s">
        <v>81</v>
      </c>
      <c r="U18" s="108" t="s">
        <v>81</v>
      </c>
      <c r="V18" s="108" t="s">
        <v>81</v>
      </c>
      <c r="W18" s="108" t="s">
        <v>81</v>
      </c>
      <c r="X18" s="108" t="s">
        <v>81</v>
      </c>
      <c r="Y18" s="108" t="s">
        <v>81</v>
      </c>
      <c r="Z18" s="108" t="s">
        <v>81</v>
      </c>
      <c r="AA18" s="108" t="s">
        <v>81</v>
      </c>
      <c r="AB18" s="108" t="s">
        <v>81</v>
      </c>
    </row>
    <row r="19" spans="2:28" ht="14.25" customHeight="1"/>
    <row r="20" spans="2:28" ht="14.25" customHeight="1"/>
    <row r="21" spans="2:28" ht="14.25" customHeight="1"/>
    <row r="22" spans="2:28" ht="14.25" customHeight="1">
      <c r="B22" s="101" t="s">
        <v>767</v>
      </c>
    </row>
    <row r="23" spans="2:28" ht="14.25" customHeight="1">
      <c r="B23" s="102" t="s">
        <v>293</v>
      </c>
      <c r="C23" s="102" t="s">
        <v>294</v>
      </c>
      <c r="D23" s="102" t="s">
        <v>295</v>
      </c>
      <c r="E23" s="102" t="s">
        <v>296</v>
      </c>
      <c r="F23" s="102" t="s">
        <v>297</v>
      </c>
      <c r="G23" s="102" t="s">
        <v>298</v>
      </c>
      <c r="H23" s="119" t="s">
        <v>387</v>
      </c>
      <c r="I23" s="119" t="s">
        <v>388</v>
      </c>
      <c r="J23" s="119" t="s">
        <v>304</v>
      </c>
      <c r="K23" s="126" t="s">
        <v>390</v>
      </c>
      <c r="L23" s="102" t="s">
        <v>448</v>
      </c>
      <c r="M23" s="129" t="s">
        <v>442</v>
      </c>
      <c r="N23" s="119" t="s">
        <v>389</v>
      </c>
      <c r="O23" s="126" t="s">
        <v>653</v>
      </c>
      <c r="P23" s="102" t="s">
        <v>655</v>
      </c>
      <c r="Q23" s="102" t="s">
        <v>656</v>
      </c>
      <c r="R23" s="102" t="s">
        <v>657</v>
      </c>
      <c r="S23" s="102" t="s">
        <v>658</v>
      </c>
      <c r="T23" s="102" t="s">
        <v>660</v>
      </c>
      <c r="U23" s="102" t="s">
        <v>661</v>
      </c>
      <c r="V23" s="102" t="s">
        <v>662</v>
      </c>
      <c r="W23" s="102" t="s">
        <v>663</v>
      </c>
      <c r="X23" s="126" t="s">
        <v>652</v>
      </c>
    </row>
    <row r="24" spans="2:28" ht="14.25" customHeight="1">
      <c r="B24" s="102" t="s">
        <v>308</v>
      </c>
      <c r="C24" s="102" t="s">
        <v>309</v>
      </c>
      <c r="D24" s="102" t="s">
        <v>310</v>
      </c>
      <c r="E24" s="102" t="s">
        <v>311</v>
      </c>
      <c r="F24" s="102" t="s">
        <v>312</v>
      </c>
      <c r="G24" s="102" t="s">
        <v>313</v>
      </c>
      <c r="H24" s="119" t="s">
        <v>398</v>
      </c>
      <c r="I24" s="119" t="s">
        <v>399</v>
      </c>
      <c r="J24" s="119" t="s">
        <v>319</v>
      </c>
      <c r="K24" s="119" t="s">
        <v>401</v>
      </c>
      <c r="L24" s="102" t="s">
        <v>449</v>
      </c>
      <c r="M24" s="102" t="s">
        <v>443</v>
      </c>
      <c r="N24" s="119" t="s">
        <v>400</v>
      </c>
      <c r="O24" s="119" t="s">
        <v>667</v>
      </c>
      <c r="P24" s="102" t="s">
        <v>669</v>
      </c>
      <c r="Q24" s="102" t="s">
        <v>670</v>
      </c>
      <c r="R24" s="102" t="s">
        <v>671</v>
      </c>
      <c r="S24" s="102" t="s">
        <v>672</v>
      </c>
      <c r="T24" s="102" t="s">
        <v>674</v>
      </c>
      <c r="U24" s="102" t="s">
        <v>675</v>
      </c>
      <c r="V24" s="102" t="s">
        <v>676</v>
      </c>
      <c r="W24" s="102" t="s">
        <v>677</v>
      </c>
      <c r="X24" s="119" t="s">
        <v>666</v>
      </c>
    </row>
    <row r="25" spans="2:28" ht="14.25" customHeight="1">
      <c r="B25" s="102" t="s">
        <v>323</v>
      </c>
      <c r="C25" s="102" t="s">
        <v>324</v>
      </c>
      <c r="D25" s="102" t="s">
        <v>325</v>
      </c>
      <c r="E25" s="102" t="s">
        <v>326</v>
      </c>
      <c r="F25" s="102" t="s">
        <v>326</v>
      </c>
      <c r="G25" s="102" t="s">
        <v>327</v>
      </c>
      <c r="H25" s="119" t="s">
        <v>409</v>
      </c>
      <c r="I25" s="119" t="s">
        <v>409</v>
      </c>
      <c r="J25" s="119" t="s">
        <v>327</v>
      </c>
      <c r="K25" s="119" t="s">
        <v>327</v>
      </c>
      <c r="L25" s="102" t="s">
        <v>327</v>
      </c>
      <c r="M25" s="102" t="s">
        <v>327</v>
      </c>
      <c r="N25" s="119" t="s">
        <v>327</v>
      </c>
      <c r="O25" s="119" t="s">
        <v>327</v>
      </c>
      <c r="P25" s="102" t="s">
        <v>409</v>
      </c>
      <c r="Q25" s="102" t="s">
        <v>409</v>
      </c>
      <c r="R25" s="102" t="s">
        <v>409</v>
      </c>
      <c r="S25" s="102" t="s">
        <v>409</v>
      </c>
      <c r="T25" s="102" t="s">
        <v>409</v>
      </c>
      <c r="U25" s="102" t="s">
        <v>409</v>
      </c>
      <c r="V25" s="102" t="s">
        <v>409</v>
      </c>
      <c r="W25" s="102" t="s">
        <v>409</v>
      </c>
      <c r="X25" s="119" t="s">
        <v>327</v>
      </c>
    </row>
    <row r="26" spans="2:28" ht="14.25" customHeight="1">
      <c r="B26" s="102" t="s">
        <v>328</v>
      </c>
      <c r="C26" s="102">
        <v>1</v>
      </c>
      <c r="D26" s="102"/>
      <c r="E26" s="102"/>
      <c r="F26" s="102"/>
      <c r="G26" s="102">
        <v>8</v>
      </c>
      <c r="H26" s="119">
        <v>4</v>
      </c>
      <c r="I26" s="119">
        <v>6</v>
      </c>
      <c r="J26" s="119">
        <v>2</v>
      </c>
      <c r="K26" s="119">
        <v>4</v>
      </c>
      <c r="L26" s="102">
        <v>3</v>
      </c>
      <c r="M26" s="102">
        <v>3</v>
      </c>
      <c r="N26" s="119">
        <v>6</v>
      </c>
      <c r="O26" s="119">
        <v>2</v>
      </c>
      <c r="P26" s="102">
        <v>13</v>
      </c>
      <c r="Q26" s="102">
        <v>13</v>
      </c>
      <c r="R26" s="102">
        <v>13</v>
      </c>
      <c r="S26" s="102">
        <v>13</v>
      </c>
      <c r="T26" s="102">
        <v>13</v>
      </c>
      <c r="U26" s="102">
        <v>13</v>
      </c>
      <c r="V26" s="102">
        <v>13</v>
      </c>
      <c r="W26" s="102">
        <v>13</v>
      </c>
      <c r="X26" s="119">
        <v>4</v>
      </c>
    </row>
    <row r="27" spans="2:28" ht="14.25" customHeight="1">
      <c r="B27" s="102" t="s">
        <v>329</v>
      </c>
      <c r="C27" s="102"/>
      <c r="D27" s="102"/>
      <c r="E27" s="102"/>
      <c r="F27" s="102"/>
      <c r="G27" s="102"/>
      <c r="H27" s="119"/>
      <c r="I27" s="119"/>
      <c r="J27" s="119"/>
      <c r="K27" s="119"/>
      <c r="L27" s="102"/>
      <c r="M27" s="102"/>
      <c r="N27" s="119"/>
      <c r="O27" s="119"/>
      <c r="P27" s="102"/>
      <c r="Q27" s="102"/>
      <c r="R27" s="102"/>
      <c r="S27" s="102"/>
      <c r="T27" s="102"/>
      <c r="U27" s="102"/>
      <c r="V27" s="102"/>
      <c r="W27" s="102"/>
      <c r="X27" s="119"/>
    </row>
    <row r="28" spans="2:28" ht="14.25" customHeight="1">
      <c r="B28" s="102" t="s">
        <v>330</v>
      </c>
      <c r="C28" s="102"/>
      <c r="D28" s="102"/>
      <c r="E28" s="102"/>
      <c r="F28" s="102"/>
      <c r="G28" s="102"/>
      <c r="H28" s="119"/>
      <c r="I28" s="119"/>
      <c r="J28" s="119"/>
      <c r="K28" s="119"/>
      <c r="L28" s="102"/>
      <c r="M28" s="102"/>
      <c r="N28" s="119"/>
      <c r="O28" s="119"/>
      <c r="P28" s="102"/>
      <c r="Q28" s="102"/>
      <c r="R28" s="102"/>
      <c r="S28" s="102"/>
      <c r="T28" s="102"/>
      <c r="U28" s="102"/>
      <c r="V28" s="102"/>
      <c r="W28" s="102"/>
      <c r="X28" s="119"/>
    </row>
    <row r="29" spans="2:28" ht="14.25" customHeight="1">
      <c r="B29" s="102" t="s">
        <v>331</v>
      </c>
      <c r="C29" s="102"/>
      <c r="D29" s="102"/>
      <c r="E29" s="102"/>
      <c r="F29" s="102"/>
      <c r="G29" s="102"/>
      <c r="H29" s="119">
        <v>1</v>
      </c>
      <c r="I29" s="119">
        <v>2</v>
      </c>
      <c r="J29" s="119">
        <v>3</v>
      </c>
      <c r="K29" s="119">
        <v>5</v>
      </c>
      <c r="L29" s="102"/>
      <c r="M29" s="102"/>
      <c r="N29" s="119">
        <v>6</v>
      </c>
      <c r="O29" s="119">
        <v>7</v>
      </c>
      <c r="P29" s="102"/>
      <c r="Q29" s="102"/>
      <c r="R29" s="102"/>
      <c r="S29" s="102"/>
      <c r="T29" s="102"/>
      <c r="U29" s="102"/>
      <c r="V29" s="102"/>
      <c r="W29" s="102"/>
      <c r="X29" s="119">
        <v>4</v>
      </c>
    </row>
    <row r="30" spans="2:28" ht="14.25" customHeight="1">
      <c r="B30" s="102" t="s">
        <v>332</v>
      </c>
      <c r="C30" s="102">
        <v>0</v>
      </c>
      <c r="D30" s="102">
        <v>0</v>
      </c>
      <c r="E30" s="102"/>
      <c r="F30" s="102"/>
      <c r="G30" s="102"/>
      <c r="H30" s="119"/>
      <c r="I30" s="119"/>
      <c r="J30" s="119"/>
      <c r="K30" s="119"/>
      <c r="L30" s="102"/>
      <c r="M30" s="102"/>
      <c r="N30" s="119"/>
      <c r="O30" s="119"/>
      <c r="P30" s="102"/>
      <c r="Q30" s="102"/>
      <c r="R30" s="102"/>
      <c r="S30" s="102"/>
      <c r="T30" s="102"/>
      <c r="U30" s="102"/>
      <c r="V30" s="102"/>
      <c r="W30" s="102"/>
      <c r="X30" s="119"/>
    </row>
    <row r="31" spans="2:28" ht="14.25" customHeight="1">
      <c r="B31" s="102" t="s">
        <v>333</v>
      </c>
      <c r="C31" s="110" t="s">
        <v>334</v>
      </c>
      <c r="D31" s="110" t="s">
        <v>334</v>
      </c>
      <c r="E31" s="110" t="s">
        <v>334</v>
      </c>
      <c r="F31" s="110" t="s">
        <v>334</v>
      </c>
      <c r="G31" s="110" t="s">
        <v>334</v>
      </c>
      <c r="H31" s="120" t="s">
        <v>334</v>
      </c>
      <c r="I31" s="120" t="s">
        <v>334</v>
      </c>
      <c r="J31" s="120" t="s">
        <v>334</v>
      </c>
      <c r="K31" s="120" t="s">
        <v>334</v>
      </c>
      <c r="L31" s="110" t="s">
        <v>334</v>
      </c>
      <c r="M31" s="110" t="s">
        <v>334</v>
      </c>
      <c r="N31" s="120" t="s">
        <v>334</v>
      </c>
      <c r="O31" s="120" t="s">
        <v>334</v>
      </c>
      <c r="P31" s="110"/>
      <c r="Q31" s="110"/>
      <c r="R31" s="110"/>
      <c r="S31" s="110"/>
      <c r="T31" s="110"/>
      <c r="U31" s="110"/>
      <c r="V31" s="110"/>
      <c r="W31" s="110"/>
      <c r="X31" s="120" t="s">
        <v>334</v>
      </c>
    </row>
    <row r="32" spans="2:28" ht="14.25" customHeight="1">
      <c r="B32" s="108" t="s">
        <v>683</v>
      </c>
      <c r="C32" s="108" t="s">
        <v>81</v>
      </c>
      <c r="D32" s="108" t="s">
        <v>81</v>
      </c>
      <c r="E32" s="108" t="s">
        <v>542</v>
      </c>
      <c r="F32" s="108" t="s">
        <v>766</v>
      </c>
      <c r="G32" s="108" t="s">
        <v>543</v>
      </c>
      <c r="H32" s="108" t="s">
        <v>641</v>
      </c>
      <c r="I32" s="113" t="s">
        <v>598</v>
      </c>
      <c r="J32" s="113" t="s">
        <v>524</v>
      </c>
      <c r="K32" s="108" t="s">
        <v>641</v>
      </c>
      <c r="L32" s="108" t="s">
        <v>526</v>
      </c>
      <c r="M32" s="108" t="s">
        <v>640</v>
      </c>
      <c r="N32" s="108" t="s">
        <v>546</v>
      </c>
      <c r="O32" s="108" t="s">
        <v>524</v>
      </c>
      <c r="P32" s="108" t="s">
        <v>681</v>
      </c>
      <c r="Q32" s="108" t="s">
        <v>681</v>
      </c>
      <c r="R32" s="108" t="s">
        <v>681</v>
      </c>
      <c r="S32" s="108" t="s">
        <v>681</v>
      </c>
      <c r="T32" s="108" t="s">
        <v>681</v>
      </c>
      <c r="U32" s="108" t="s">
        <v>681</v>
      </c>
      <c r="V32" s="108" t="s">
        <v>681</v>
      </c>
      <c r="W32" s="108" t="s">
        <v>681</v>
      </c>
      <c r="X32" s="108" t="s">
        <v>698</v>
      </c>
    </row>
    <row r="33" spans="1:24" ht="14.25" customHeight="1">
      <c r="B33" s="108" t="s">
        <v>342</v>
      </c>
      <c r="C33" s="108" t="s">
        <v>81</v>
      </c>
      <c r="D33" s="108" t="s">
        <v>81</v>
      </c>
      <c r="E33" s="108" t="s">
        <v>542</v>
      </c>
      <c r="F33" s="108" t="s">
        <v>766</v>
      </c>
      <c r="G33" s="108" t="s">
        <v>543</v>
      </c>
      <c r="H33" s="108" t="s">
        <v>641</v>
      </c>
      <c r="I33" s="113" t="s">
        <v>598</v>
      </c>
      <c r="J33" s="113" t="s">
        <v>524</v>
      </c>
      <c r="K33" s="108" t="s">
        <v>768</v>
      </c>
      <c r="L33" s="108" t="s">
        <v>526</v>
      </c>
      <c r="M33" s="108" t="s">
        <v>640</v>
      </c>
      <c r="N33" s="189" t="s">
        <v>774</v>
      </c>
      <c r="O33" s="108" t="s">
        <v>524</v>
      </c>
      <c r="P33" s="108" t="s">
        <v>681</v>
      </c>
      <c r="Q33" s="108" t="s">
        <v>681</v>
      </c>
      <c r="R33" s="108" t="s">
        <v>681</v>
      </c>
      <c r="S33" s="108" t="s">
        <v>681</v>
      </c>
      <c r="T33" s="108" t="s">
        <v>681</v>
      </c>
      <c r="U33" s="108" t="s">
        <v>681</v>
      </c>
      <c r="V33" s="108" t="s">
        <v>681</v>
      </c>
      <c r="W33" s="108" t="s">
        <v>681</v>
      </c>
      <c r="X33" s="108" t="s">
        <v>698</v>
      </c>
    </row>
    <row r="34" spans="1:24" ht="14.25" customHeight="1">
      <c r="B34" s="108" t="s">
        <v>342</v>
      </c>
      <c r="C34" s="108" t="s">
        <v>81</v>
      </c>
      <c r="D34" s="108" t="s">
        <v>81</v>
      </c>
      <c r="E34" s="108" t="s">
        <v>542</v>
      </c>
      <c r="F34" s="108" t="s">
        <v>766</v>
      </c>
      <c r="G34" s="108" t="s">
        <v>543</v>
      </c>
      <c r="H34" s="108" t="s">
        <v>641</v>
      </c>
      <c r="I34" s="113" t="s">
        <v>598</v>
      </c>
      <c r="J34" s="113" t="s">
        <v>524</v>
      </c>
      <c r="K34" s="108" t="s">
        <v>641</v>
      </c>
      <c r="L34" s="108" t="s">
        <v>526</v>
      </c>
      <c r="M34" s="108" t="s">
        <v>640</v>
      </c>
      <c r="N34" s="108" t="s">
        <v>771</v>
      </c>
      <c r="O34" s="108" t="s">
        <v>524</v>
      </c>
      <c r="P34" s="108" t="s">
        <v>681</v>
      </c>
      <c r="Q34" s="108" t="s">
        <v>681</v>
      </c>
      <c r="R34" s="108" t="s">
        <v>681</v>
      </c>
      <c r="S34" s="108" t="s">
        <v>681</v>
      </c>
      <c r="T34" s="108" t="s">
        <v>681</v>
      </c>
      <c r="U34" s="108" t="s">
        <v>681</v>
      </c>
      <c r="V34" s="108" t="s">
        <v>681</v>
      </c>
      <c r="W34" s="108" t="s">
        <v>681</v>
      </c>
      <c r="X34" s="108" t="s">
        <v>699</v>
      </c>
    </row>
    <row r="35" spans="1:24" ht="14.25" customHeight="1">
      <c r="B35" s="108" t="s">
        <v>342</v>
      </c>
      <c r="C35" s="108" t="s">
        <v>81</v>
      </c>
      <c r="D35" s="108" t="s">
        <v>81</v>
      </c>
      <c r="E35" s="108" t="s">
        <v>542</v>
      </c>
      <c r="F35" s="108" t="s">
        <v>766</v>
      </c>
      <c r="G35" s="108" t="s">
        <v>543</v>
      </c>
      <c r="H35" s="108" t="s">
        <v>641</v>
      </c>
      <c r="I35" s="113" t="s">
        <v>598</v>
      </c>
      <c r="J35" s="113" t="s">
        <v>524</v>
      </c>
      <c r="K35" s="108" t="s">
        <v>641</v>
      </c>
      <c r="L35" s="108" t="s">
        <v>526</v>
      </c>
      <c r="M35" s="108" t="s">
        <v>769</v>
      </c>
      <c r="N35" s="108" t="s">
        <v>772</v>
      </c>
      <c r="O35" s="108" t="s">
        <v>524</v>
      </c>
      <c r="P35" s="108" t="s">
        <v>681</v>
      </c>
      <c r="Q35" s="108" t="s">
        <v>681</v>
      </c>
      <c r="R35" s="108" t="s">
        <v>681</v>
      </c>
      <c r="S35" s="108" t="s">
        <v>681</v>
      </c>
      <c r="T35" s="108" t="s">
        <v>681</v>
      </c>
      <c r="U35" s="108" t="s">
        <v>681</v>
      </c>
      <c r="V35" s="108" t="s">
        <v>681</v>
      </c>
      <c r="W35" s="108" t="s">
        <v>681</v>
      </c>
      <c r="X35" s="108" t="s">
        <v>698</v>
      </c>
    </row>
    <row r="36" spans="1:24" ht="14.25" customHeight="1">
      <c r="B36" s="108" t="s">
        <v>342</v>
      </c>
      <c r="C36" s="108" t="s">
        <v>81</v>
      </c>
      <c r="D36" s="108" t="s">
        <v>81</v>
      </c>
      <c r="E36" s="108" t="s">
        <v>542</v>
      </c>
      <c r="F36" s="108" t="s">
        <v>766</v>
      </c>
      <c r="G36" s="108" t="s">
        <v>543</v>
      </c>
      <c r="H36" s="108" t="s">
        <v>641</v>
      </c>
      <c r="I36" s="113" t="s">
        <v>598</v>
      </c>
      <c r="J36" s="113" t="s">
        <v>524</v>
      </c>
      <c r="K36" s="108" t="s">
        <v>641</v>
      </c>
      <c r="L36" s="108" t="s">
        <v>526</v>
      </c>
      <c r="M36" s="108" t="s">
        <v>640</v>
      </c>
      <c r="N36" s="108" t="s">
        <v>773</v>
      </c>
      <c r="O36" s="108" t="s">
        <v>600</v>
      </c>
      <c r="P36" s="108" t="s">
        <v>681</v>
      </c>
      <c r="Q36" s="108" t="s">
        <v>681</v>
      </c>
      <c r="R36" s="108" t="s">
        <v>681</v>
      </c>
      <c r="S36" s="108" t="s">
        <v>681</v>
      </c>
      <c r="T36" s="108" t="s">
        <v>681</v>
      </c>
      <c r="U36" s="108" t="s">
        <v>681</v>
      </c>
      <c r="V36" s="108" t="s">
        <v>681</v>
      </c>
      <c r="W36" s="108" t="s">
        <v>681</v>
      </c>
      <c r="X36" s="108" t="s">
        <v>698</v>
      </c>
    </row>
    <row r="37" spans="1:24" ht="14.25" customHeight="1"/>
    <row r="38" spans="1:24" ht="14.25" customHeight="1"/>
    <row r="39" spans="1:24" ht="14.25" customHeight="1"/>
    <row r="40" spans="1:24" ht="18">
      <c r="B40" s="101" t="s">
        <v>684</v>
      </c>
    </row>
    <row r="41" spans="1:24">
      <c r="B41" s="102" t="s">
        <v>293</v>
      </c>
      <c r="C41" s="102" t="s">
        <v>388</v>
      </c>
      <c r="D41" s="102" t="s">
        <v>304</v>
      </c>
      <c r="E41" s="102" t="s">
        <v>651</v>
      </c>
      <c r="F41" s="102" t="s">
        <v>390</v>
      </c>
      <c r="G41" s="102" t="s">
        <v>652</v>
      </c>
      <c r="H41" s="102" t="s">
        <v>442</v>
      </c>
      <c r="I41" s="102" t="s">
        <v>653</v>
      </c>
      <c r="J41" s="130" t="s">
        <v>655</v>
      </c>
      <c r="K41" s="102" t="s">
        <v>656</v>
      </c>
      <c r="L41" s="130" t="s">
        <v>657</v>
      </c>
      <c r="M41" s="102" t="s">
        <v>658</v>
      </c>
      <c r="N41" s="102" t="s">
        <v>659</v>
      </c>
      <c r="O41" s="130" t="s">
        <v>660</v>
      </c>
      <c r="P41" s="102" t="s">
        <v>661</v>
      </c>
      <c r="Q41" s="130" t="s">
        <v>662</v>
      </c>
      <c r="R41" s="102" t="s">
        <v>663</v>
      </c>
      <c r="S41" s="102" t="s">
        <v>664</v>
      </c>
    </row>
    <row r="42" spans="1:24">
      <c r="B42" s="102" t="s">
        <v>308</v>
      </c>
      <c r="C42" s="102" t="s">
        <v>399</v>
      </c>
      <c r="D42" s="102" t="s">
        <v>319</v>
      </c>
      <c r="E42" s="102" t="s">
        <v>665</v>
      </c>
      <c r="F42" s="102" t="s">
        <v>401</v>
      </c>
      <c r="G42" s="102" t="s">
        <v>666</v>
      </c>
      <c r="H42" s="102" t="s">
        <v>443</v>
      </c>
      <c r="I42" s="102" t="s">
        <v>667</v>
      </c>
      <c r="J42" s="130" t="s">
        <v>669</v>
      </c>
      <c r="K42" s="102" t="s">
        <v>670</v>
      </c>
      <c r="L42" s="130" t="s">
        <v>671</v>
      </c>
      <c r="M42" s="102" t="s">
        <v>672</v>
      </c>
      <c r="N42" s="102" t="s">
        <v>673</v>
      </c>
      <c r="O42" s="130" t="s">
        <v>674</v>
      </c>
      <c r="P42" s="102" t="s">
        <v>675</v>
      </c>
      <c r="Q42" s="130" t="s">
        <v>676</v>
      </c>
      <c r="R42" s="102" t="s">
        <v>677</v>
      </c>
      <c r="S42" s="102" t="s">
        <v>678</v>
      </c>
    </row>
    <row r="43" spans="1:24" ht="18">
      <c r="A43" s="115" t="s">
        <v>686</v>
      </c>
      <c r="B43" s="108"/>
      <c r="C43" s="123" t="str">
        <f t="shared" ref="C43:G47" si="0">I13</f>
        <v>202505</v>
      </c>
      <c r="D43" s="123" t="str">
        <f t="shared" si="0"/>
        <v>01</v>
      </c>
      <c r="E43" s="123" t="str">
        <f t="shared" si="0"/>
        <v>101001</v>
      </c>
      <c r="F43" s="123" t="str">
        <f t="shared" si="0"/>
        <v>2025</v>
      </c>
      <c r="G43" s="123" t="str">
        <f t="shared" si="0"/>
        <v>1001</v>
      </c>
      <c r="H43" s="108" t="str">
        <f t="shared" ref="H43:H48" si="1">O13</f>
        <v>101</v>
      </c>
      <c r="I43" s="108" t="str">
        <f t="shared" ref="I43:I48" si="2">Q13</f>
        <v>01</v>
      </c>
      <c r="J43" s="108" t="str">
        <f t="shared" ref="J43:S47" si="3">S13</f>
        <v>0</v>
      </c>
      <c r="K43" s="108" t="str">
        <f t="shared" si="3"/>
        <v>0</v>
      </c>
      <c r="L43" s="108" t="str">
        <f t="shared" si="3"/>
        <v>0</v>
      </c>
      <c r="M43" s="108" t="str">
        <f t="shared" si="3"/>
        <v>0</v>
      </c>
      <c r="N43" s="108" t="str">
        <f t="shared" si="3"/>
        <v>0</v>
      </c>
      <c r="O43" s="108" t="str">
        <f t="shared" si="3"/>
        <v>0</v>
      </c>
      <c r="P43" s="108" t="str">
        <f t="shared" si="3"/>
        <v>0</v>
      </c>
      <c r="Q43" s="108" t="str">
        <f t="shared" si="3"/>
        <v>0</v>
      </c>
      <c r="R43" s="108" t="str">
        <f t="shared" si="3"/>
        <v>0</v>
      </c>
      <c r="S43" s="108" t="str">
        <f t="shared" si="3"/>
        <v>0</v>
      </c>
    </row>
    <row r="44" spans="1:24">
      <c r="B44" s="108"/>
      <c r="C44" s="123" t="str">
        <f t="shared" si="0"/>
        <v>202505</v>
      </c>
      <c r="D44" s="123" t="str">
        <f t="shared" si="0"/>
        <v>01</v>
      </c>
      <c r="E44" s="123" t="str">
        <f t="shared" si="0"/>
        <v>101011</v>
      </c>
      <c r="F44" s="123" t="str">
        <f t="shared" si="0"/>
        <v>2025</v>
      </c>
      <c r="G44" s="123" t="str">
        <f t="shared" si="0"/>
        <v>1001</v>
      </c>
      <c r="H44" s="108" t="str">
        <f t="shared" si="1"/>
        <v>101</v>
      </c>
      <c r="I44" s="108" t="str">
        <f t="shared" si="2"/>
        <v>01</v>
      </c>
      <c r="J44" s="108" t="str">
        <f t="shared" si="3"/>
        <v>45000</v>
      </c>
      <c r="K44" s="108" t="str">
        <f t="shared" si="3"/>
        <v>45000</v>
      </c>
      <c r="L44" s="123" t="str">
        <f t="shared" si="3"/>
        <v>45000</v>
      </c>
      <c r="M44" s="108" t="str">
        <f t="shared" si="3"/>
        <v>45000</v>
      </c>
      <c r="N44" s="108" t="str">
        <f t="shared" si="3"/>
        <v>45000</v>
      </c>
      <c r="O44" s="108" t="str">
        <f t="shared" si="3"/>
        <v>45000</v>
      </c>
      <c r="P44" s="108" t="str">
        <f t="shared" si="3"/>
        <v>45000</v>
      </c>
      <c r="Q44" s="108" t="str">
        <f t="shared" si="3"/>
        <v>45000</v>
      </c>
      <c r="R44" s="108" t="str">
        <f t="shared" si="3"/>
        <v>45000</v>
      </c>
      <c r="S44" s="108" t="str">
        <f t="shared" si="3"/>
        <v>45000</v>
      </c>
    </row>
    <row r="45" spans="1:24">
      <c r="B45" s="108"/>
      <c r="C45" s="123" t="str">
        <f t="shared" si="0"/>
        <v>202505</v>
      </c>
      <c r="D45" s="123" t="str">
        <f t="shared" si="0"/>
        <v>01</v>
      </c>
      <c r="E45" s="123" t="str">
        <f t="shared" si="0"/>
        <v>101001</v>
      </c>
      <c r="F45" s="123" t="str">
        <f t="shared" si="0"/>
        <v>2024</v>
      </c>
      <c r="G45" s="123" t="str">
        <f t="shared" si="0"/>
        <v>1001</v>
      </c>
      <c r="H45" s="108" t="str">
        <f t="shared" si="1"/>
        <v>101</v>
      </c>
      <c r="I45" s="108" t="str">
        <f t="shared" si="2"/>
        <v>01</v>
      </c>
      <c r="J45" s="108" t="str">
        <f t="shared" si="3"/>
        <v>0</v>
      </c>
      <c r="K45" s="108" t="str">
        <f t="shared" si="3"/>
        <v>0</v>
      </c>
      <c r="L45" s="108" t="str">
        <f t="shared" si="3"/>
        <v>0</v>
      </c>
      <c r="M45" s="108" t="str">
        <f t="shared" si="3"/>
        <v>0</v>
      </c>
      <c r="N45" s="108" t="str">
        <f t="shared" si="3"/>
        <v>0</v>
      </c>
      <c r="O45" s="108" t="str">
        <f t="shared" si="3"/>
        <v>0</v>
      </c>
      <c r="P45" s="108" t="str">
        <f t="shared" si="3"/>
        <v>0</v>
      </c>
      <c r="Q45" s="108" t="str">
        <f t="shared" si="3"/>
        <v>0</v>
      </c>
      <c r="R45" s="108" t="str">
        <f t="shared" si="3"/>
        <v>0</v>
      </c>
      <c r="S45" s="108" t="str">
        <f t="shared" si="3"/>
        <v>0</v>
      </c>
    </row>
    <row r="46" spans="1:24">
      <c r="B46" s="108"/>
      <c r="C46" s="123" t="str">
        <f t="shared" si="0"/>
        <v>202505</v>
      </c>
      <c r="D46" s="123" t="str">
        <f t="shared" si="0"/>
        <v>01</v>
      </c>
      <c r="E46" s="123" t="str">
        <f t="shared" si="0"/>
        <v>101001</v>
      </c>
      <c r="F46" s="123" t="str">
        <f t="shared" si="0"/>
        <v>2025</v>
      </c>
      <c r="G46" s="123" t="str">
        <f t="shared" si="0"/>
        <v>1002</v>
      </c>
      <c r="H46" s="108" t="str">
        <f t="shared" si="1"/>
        <v>101</v>
      </c>
      <c r="I46" s="108" t="str">
        <f t="shared" si="2"/>
        <v>01</v>
      </c>
      <c r="J46" s="108" t="str">
        <f t="shared" si="3"/>
        <v>0</v>
      </c>
      <c r="K46" s="108" t="str">
        <f t="shared" si="3"/>
        <v>0</v>
      </c>
      <c r="L46" s="108" t="str">
        <f t="shared" si="3"/>
        <v>0</v>
      </c>
      <c r="M46" s="108" t="str">
        <f t="shared" si="3"/>
        <v>0</v>
      </c>
      <c r="N46" s="108" t="str">
        <f t="shared" si="3"/>
        <v>0</v>
      </c>
      <c r="O46" s="108" t="str">
        <f t="shared" si="3"/>
        <v>0</v>
      </c>
      <c r="P46" s="108" t="str">
        <f t="shared" si="3"/>
        <v>0</v>
      </c>
      <c r="Q46" s="108" t="str">
        <f t="shared" si="3"/>
        <v>0</v>
      </c>
      <c r="R46" s="108" t="str">
        <f t="shared" si="3"/>
        <v>0</v>
      </c>
      <c r="S46" s="108" t="str">
        <f t="shared" si="3"/>
        <v>0</v>
      </c>
    </row>
    <row r="47" spans="1:24">
      <c r="B47" s="108"/>
      <c r="C47" s="123" t="str">
        <f t="shared" si="0"/>
        <v>202505</v>
      </c>
      <c r="D47" s="123" t="str">
        <f t="shared" si="0"/>
        <v>01</v>
      </c>
      <c r="E47" s="123" t="str">
        <f t="shared" si="0"/>
        <v>101001</v>
      </c>
      <c r="F47" s="108" t="str">
        <f t="shared" si="0"/>
        <v>2025</v>
      </c>
      <c r="G47" s="123" t="str">
        <f t="shared" si="0"/>
        <v>1001</v>
      </c>
      <c r="H47" s="108" t="str">
        <f t="shared" si="1"/>
        <v>111</v>
      </c>
      <c r="I47" s="108" t="str">
        <f t="shared" si="2"/>
        <v>01</v>
      </c>
      <c r="J47" s="108" t="str">
        <f t="shared" si="3"/>
        <v>0</v>
      </c>
      <c r="K47" s="108" t="str">
        <f t="shared" si="3"/>
        <v>0</v>
      </c>
      <c r="L47" s="108" t="str">
        <f t="shared" si="3"/>
        <v>0</v>
      </c>
      <c r="M47" s="108" t="str">
        <f t="shared" si="3"/>
        <v>0</v>
      </c>
      <c r="N47" s="108" t="str">
        <f t="shared" si="3"/>
        <v>0</v>
      </c>
      <c r="O47" s="108" t="str">
        <f t="shared" si="3"/>
        <v>0</v>
      </c>
      <c r="P47" s="108" t="str">
        <f t="shared" si="3"/>
        <v>0</v>
      </c>
      <c r="Q47" s="108" t="str">
        <f t="shared" si="3"/>
        <v>0</v>
      </c>
      <c r="R47" s="108" t="str">
        <f t="shared" si="3"/>
        <v>0</v>
      </c>
      <c r="S47" s="108" t="str">
        <f t="shared" si="3"/>
        <v>0</v>
      </c>
    </row>
    <row r="48" spans="1:24">
      <c r="B48" s="108"/>
      <c r="C48" s="123" t="str">
        <f t="shared" ref="C48" si="4">I18</f>
        <v>202505</v>
      </c>
      <c r="D48" s="123" t="str">
        <f t="shared" ref="D48" si="5">J18</f>
        <v>01</v>
      </c>
      <c r="E48" s="123" t="str">
        <f t="shared" ref="E48" si="6">K18</f>
        <v>101001</v>
      </c>
      <c r="F48" s="108" t="str">
        <f t="shared" ref="F48" si="7">L18</f>
        <v>2025</v>
      </c>
      <c r="G48" s="123" t="str">
        <f t="shared" ref="G48" si="8">M18</f>
        <v>1001</v>
      </c>
      <c r="H48" s="108" t="str">
        <f t="shared" si="1"/>
        <v>101</v>
      </c>
      <c r="I48" s="108" t="str">
        <f t="shared" si="2"/>
        <v>02</v>
      </c>
      <c r="J48" s="108" t="str">
        <f t="shared" ref="J48" si="9">S18</f>
        <v>0</v>
      </c>
      <c r="K48" s="108" t="str">
        <f t="shared" ref="K48" si="10">T18</f>
        <v>0</v>
      </c>
      <c r="L48" s="108" t="str">
        <f t="shared" ref="L48" si="11">U18</f>
        <v>0</v>
      </c>
      <c r="M48" s="108" t="str">
        <f t="shared" ref="M48" si="12">V18</f>
        <v>0</v>
      </c>
      <c r="N48" s="108" t="str">
        <f t="shared" ref="N48" si="13">W18</f>
        <v>0</v>
      </c>
      <c r="O48" s="108" t="str">
        <f t="shared" ref="O48" si="14">X18</f>
        <v>0</v>
      </c>
      <c r="P48" s="108" t="str">
        <f t="shared" ref="P48" si="15">Y18</f>
        <v>0</v>
      </c>
      <c r="Q48" s="108" t="str">
        <f t="shared" ref="Q48" si="16">Z18</f>
        <v>0</v>
      </c>
      <c r="R48" s="108" t="str">
        <f t="shared" ref="R48" si="17">AA18</f>
        <v>0</v>
      </c>
      <c r="S48" s="108" t="str">
        <f t="shared" ref="S48" si="18">AB18</f>
        <v>0</v>
      </c>
    </row>
    <row r="50" spans="1:19" ht="18">
      <c r="A50" s="115" t="s">
        <v>686</v>
      </c>
      <c r="B50" s="190"/>
      <c r="C50" s="190" t="str">
        <f>I32</f>
        <v>202505</v>
      </c>
      <c r="D50" s="190" t="str">
        <f>J32</f>
        <v>01</v>
      </c>
      <c r="E50" s="190" t="s">
        <v>685</v>
      </c>
      <c r="F50" s="108" t="str">
        <f>K32</f>
        <v>2025</v>
      </c>
      <c r="G50" s="108" t="str">
        <f>X32</f>
        <v>1001</v>
      </c>
      <c r="H50" s="108" t="str">
        <f>M32</f>
        <v>101</v>
      </c>
      <c r="I50" s="108" t="str">
        <f>O32</f>
        <v>01</v>
      </c>
      <c r="J50" s="108" t="str">
        <f>P32</f>
        <v>45000</v>
      </c>
      <c r="K50" s="108" t="str">
        <f>Q32</f>
        <v>45000</v>
      </c>
      <c r="L50" s="108" t="str">
        <f>R32</f>
        <v>45000</v>
      </c>
      <c r="M50" s="108" t="str">
        <f>S32</f>
        <v>45000</v>
      </c>
      <c r="N50" s="108"/>
      <c r="O50" s="108" t="str">
        <f>T32</f>
        <v>45000</v>
      </c>
      <c r="P50" s="108" t="str">
        <f>U32</f>
        <v>45000</v>
      </c>
      <c r="Q50" s="108" t="str">
        <f>V32</f>
        <v>45000</v>
      </c>
      <c r="R50" s="108" t="str">
        <f>W32</f>
        <v>45000</v>
      </c>
      <c r="S50" s="190"/>
    </row>
    <row r="51" spans="1:19">
      <c r="B51" s="190"/>
      <c r="C51" s="190" t="str">
        <f t="shared" ref="C51:D51" si="19">I33</f>
        <v>202505</v>
      </c>
      <c r="D51" s="190" t="str">
        <f t="shared" si="19"/>
        <v>01</v>
      </c>
      <c r="E51" s="190" t="s">
        <v>685</v>
      </c>
      <c r="F51" s="108" t="str">
        <f t="shared" ref="F51:F54" si="20">K33</f>
        <v>2024</v>
      </c>
      <c r="G51" s="108" t="str">
        <f t="shared" ref="G51:G54" si="21">X33</f>
        <v>1001</v>
      </c>
      <c r="H51" s="108" t="str">
        <f t="shared" ref="H51:H54" si="22">M33</f>
        <v>101</v>
      </c>
      <c r="I51" s="108" t="str">
        <f t="shared" ref="I51:M51" si="23">O33</f>
        <v>01</v>
      </c>
      <c r="J51" s="108" t="str">
        <f t="shared" si="23"/>
        <v>45000</v>
      </c>
      <c r="K51" s="108" t="str">
        <f t="shared" si="23"/>
        <v>45000</v>
      </c>
      <c r="L51" s="108" t="str">
        <f t="shared" si="23"/>
        <v>45000</v>
      </c>
      <c r="M51" s="108" t="str">
        <f t="shared" si="23"/>
        <v>45000</v>
      </c>
      <c r="N51" s="108"/>
      <c r="O51" s="108" t="str">
        <f t="shared" ref="O51:R51" si="24">T33</f>
        <v>45000</v>
      </c>
      <c r="P51" s="108" t="str">
        <f t="shared" si="24"/>
        <v>45000</v>
      </c>
      <c r="Q51" s="108" t="str">
        <f t="shared" si="24"/>
        <v>45000</v>
      </c>
      <c r="R51" s="108" t="str">
        <f t="shared" si="24"/>
        <v>45000</v>
      </c>
      <c r="S51" s="190"/>
    </row>
    <row r="52" spans="1:19">
      <c r="B52" s="190"/>
      <c r="C52" s="190" t="str">
        <f t="shared" ref="C52:D52" si="25">I34</f>
        <v>202505</v>
      </c>
      <c r="D52" s="190" t="str">
        <f t="shared" si="25"/>
        <v>01</v>
      </c>
      <c r="E52" s="190" t="s">
        <v>685</v>
      </c>
      <c r="F52" s="108" t="str">
        <f t="shared" si="20"/>
        <v>2025</v>
      </c>
      <c r="G52" s="108" t="str">
        <f t="shared" si="21"/>
        <v>1002</v>
      </c>
      <c r="H52" s="108" t="str">
        <f t="shared" si="22"/>
        <v>101</v>
      </c>
      <c r="I52" s="108" t="str">
        <f t="shared" ref="I52:M52" si="26">O34</f>
        <v>01</v>
      </c>
      <c r="J52" s="108" t="str">
        <f t="shared" si="26"/>
        <v>45000</v>
      </c>
      <c r="K52" s="108" t="str">
        <f t="shared" si="26"/>
        <v>45000</v>
      </c>
      <c r="L52" s="108" t="str">
        <f t="shared" si="26"/>
        <v>45000</v>
      </c>
      <c r="M52" s="108" t="str">
        <f t="shared" si="26"/>
        <v>45000</v>
      </c>
      <c r="N52" s="108"/>
      <c r="O52" s="108" t="str">
        <f t="shared" ref="O52:R52" si="27">T34</f>
        <v>45000</v>
      </c>
      <c r="P52" s="108" t="str">
        <f t="shared" si="27"/>
        <v>45000</v>
      </c>
      <c r="Q52" s="108" t="str">
        <f t="shared" si="27"/>
        <v>45000</v>
      </c>
      <c r="R52" s="108" t="str">
        <f t="shared" si="27"/>
        <v>45000</v>
      </c>
      <c r="S52" s="190"/>
    </row>
    <row r="53" spans="1:19">
      <c r="B53" s="190"/>
      <c r="C53" s="190" t="str">
        <f t="shared" ref="C53:D53" si="28">I35</f>
        <v>202505</v>
      </c>
      <c r="D53" s="190" t="str">
        <f t="shared" si="28"/>
        <v>01</v>
      </c>
      <c r="E53" s="190" t="s">
        <v>685</v>
      </c>
      <c r="F53" s="108" t="str">
        <f t="shared" si="20"/>
        <v>2025</v>
      </c>
      <c r="G53" s="108" t="str">
        <f t="shared" si="21"/>
        <v>1001</v>
      </c>
      <c r="H53" s="108" t="str">
        <f t="shared" si="22"/>
        <v>111</v>
      </c>
      <c r="I53" s="108" t="str">
        <f t="shared" ref="I53:M53" si="29">O35</f>
        <v>01</v>
      </c>
      <c r="J53" s="108" t="str">
        <f t="shared" si="29"/>
        <v>45000</v>
      </c>
      <c r="K53" s="108" t="str">
        <f t="shared" si="29"/>
        <v>45000</v>
      </c>
      <c r="L53" s="108" t="str">
        <f t="shared" si="29"/>
        <v>45000</v>
      </c>
      <c r="M53" s="108" t="str">
        <f t="shared" si="29"/>
        <v>45000</v>
      </c>
      <c r="N53" s="108"/>
      <c r="O53" s="108" t="str">
        <f t="shared" ref="O53:R53" si="30">T35</f>
        <v>45000</v>
      </c>
      <c r="P53" s="108" t="str">
        <f t="shared" si="30"/>
        <v>45000</v>
      </c>
      <c r="Q53" s="108" t="str">
        <f t="shared" si="30"/>
        <v>45000</v>
      </c>
      <c r="R53" s="108" t="str">
        <f t="shared" si="30"/>
        <v>45000</v>
      </c>
      <c r="S53" s="190"/>
    </row>
    <row r="54" spans="1:19">
      <c r="B54" s="190"/>
      <c r="C54" s="190" t="str">
        <f t="shared" ref="C54:D54" si="31">I36</f>
        <v>202505</v>
      </c>
      <c r="D54" s="190" t="str">
        <f t="shared" si="31"/>
        <v>01</v>
      </c>
      <c r="E54" s="190" t="s">
        <v>685</v>
      </c>
      <c r="F54" s="108" t="str">
        <f t="shared" si="20"/>
        <v>2025</v>
      </c>
      <c r="G54" s="108" t="str">
        <f t="shared" si="21"/>
        <v>1001</v>
      </c>
      <c r="H54" s="108" t="str">
        <f t="shared" si="22"/>
        <v>101</v>
      </c>
      <c r="I54" s="108" t="str">
        <f t="shared" ref="I54:M54" si="32">O36</f>
        <v>02</v>
      </c>
      <c r="J54" s="108" t="str">
        <f t="shared" si="32"/>
        <v>45000</v>
      </c>
      <c r="K54" s="108" t="str">
        <f t="shared" si="32"/>
        <v>45000</v>
      </c>
      <c r="L54" s="108" t="str">
        <f t="shared" si="32"/>
        <v>45000</v>
      </c>
      <c r="M54" s="108" t="str">
        <f t="shared" si="32"/>
        <v>45000</v>
      </c>
      <c r="N54" s="108"/>
      <c r="O54" s="108" t="str">
        <f t="shared" ref="O54:R54" si="33">T36</f>
        <v>45000</v>
      </c>
      <c r="P54" s="108" t="str">
        <f t="shared" si="33"/>
        <v>45000</v>
      </c>
      <c r="Q54" s="108" t="str">
        <f t="shared" si="33"/>
        <v>45000</v>
      </c>
      <c r="R54" s="108" t="str">
        <f t="shared" si="33"/>
        <v>45000</v>
      </c>
      <c r="S54" s="190"/>
    </row>
    <row r="58" spans="1:19">
      <c r="B58" s="101" t="s">
        <v>594</v>
      </c>
      <c r="D58" s="101"/>
    </row>
    <row r="59" spans="1:19">
      <c r="B59" s="102" t="s">
        <v>267</v>
      </c>
      <c r="C59" s="102" t="s">
        <v>276</v>
      </c>
      <c r="D59" s="102" t="s">
        <v>279</v>
      </c>
      <c r="E59" s="102" t="s">
        <v>281</v>
      </c>
      <c r="F59" s="102" t="s">
        <v>283</v>
      </c>
      <c r="G59" s="102" t="s">
        <v>284</v>
      </c>
      <c r="H59" s="102" t="s">
        <v>286</v>
      </c>
      <c r="I59" s="102" t="s">
        <v>287</v>
      </c>
      <c r="J59" s="102" t="s">
        <v>288</v>
      </c>
      <c r="K59" s="102" t="s">
        <v>289</v>
      </c>
      <c r="L59" s="102" t="s">
        <v>290</v>
      </c>
      <c r="M59" s="102" t="s">
        <v>291</v>
      </c>
      <c r="N59" s="102" t="s">
        <v>243</v>
      </c>
      <c r="O59" s="109" t="s">
        <v>588</v>
      </c>
      <c r="P59" s="116" t="s">
        <v>590</v>
      </c>
      <c r="Q59" s="116" t="s">
        <v>592</v>
      </c>
      <c r="R59" s="116" t="s">
        <v>292</v>
      </c>
    </row>
    <row r="60" spans="1:19">
      <c r="B60" s="102" t="s">
        <v>268</v>
      </c>
      <c r="C60" s="102" t="s">
        <v>254</v>
      </c>
      <c r="D60" s="102" t="s">
        <v>255</v>
      </c>
      <c r="E60" s="102" t="s">
        <v>256</v>
      </c>
      <c r="F60" s="102" t="s">
        <v>257</v>
      </c>
      <c r="G60" s="102" t="s">
        <v>258</v>
      </c>
      <c r="H60" s="102" t="s">
        <v>259</v>
      </c>
      <c r="I60" s="102" t="s">
        <v>260</v>
      </c>
      <c r="J60" s="102" t="s">
        <v>261</v>
      </c>
      <c r="K60" s="102" t="s">
        <v>262</v>
      </c>
      <c r="L60" s="102" t="s">
        <v>263</v>
      </c>
      <c r="M60" s="102" t="s">
        <v>264</v>
      </c>
      <c r="N60" s="102" t="s">
        <v>265</v>
      </c>
      <c r="O60" s="109" t="s">
        <v>589</v>
      </c>
      <c r="P60" s="116" t="s">
        <v>591</v>
      </c>
      <c r="Q60" s="116" t="s">
        <v>593</v>
      </c>
      <c r="R60" s="116" t="s">
        <v>266</v>
      </c>
    </row>
    <row r="61" spans="1:19">
      <c r="B61" s="102" t="s">
        <v>269</v>
      </c>
      <c r="C61" s="102" t="s">
        <v>277</v>
      </c>
      <c r="D61" s="102" t="s">
        <v>280</v>
      </c>
      <c r="E61" s="102" t="s">
        <v>282</v>
      </c>
      <c r="F61" s="102" t="s">
        <v>282</v>
      </c>
      <c r="G61" s="102" t="s">
        <v>285</v>
      </c>
      <c r="H61" s="102" t="s">
        <v>282</v>
      </c>
      <c r="I61" s="102" t="s">
        <v>285</v>
      </c>
      <c r="J61" s="102" t="s">
        <v>282</v>
      </c>
      <c r="K61" s="102" t="s">
        <v>285</v>
      </c>
      <c r="L61" s="102" t="s">
        <v>285</v>
      </c>
      <c r="M61" s="102" t="s">
        <v>280</v>
      </c>
      <c r="N61" s="102" t="s">
        <v>280</v>
      </c>
      <c r="O61" s="109" t="s">
        <v>285</v>
      </c>
      <c r="P61" s="116" t="s">
        <v>285</v>
      </c>
      <c r="Q61" s="116" t="s">
        <v>285</v>
      </c>
      <c r="R61" s="116" t="s">
        <v>285</v>
      </c>
    </row>
    <row r="62" spans="1:19">
      <c r="B62" s="102" t="s">
        <v>270</v>
      </c>
      <c r="C62" s="102">
        <v>1</v>
      </c>
      <c r="D62" s="102"/>
      <c r="E62" s="102"/>
      <c r="F62" s="102"/>
      <c r="G62" s="102">
        <v>8</v>
      </c>
      <c r="H62" s="102"/>
      <c r="I62" s="102">
        <v>8</v>
      </c>
      <c r="J62" s="102"/>
      <c r="K62" s="102">
        <v>8</v>
      </c>
      <c r="L62" s="102">
        <v>2</v>
      </c>
      <c r="M62" s="102">
        <v>8</v>
      </c>
      <c r="N62" s="102">
        <v>8</v>
      </c>
      <c r="O62" s="109">
        <v>30</v>
      </c>
      <c r="P62" s="116">
        <v>1</v>
      </c>
      <c r="Q62" s="116">
        <v>2</v>
      </c>
      <c r="R62" s="116">
        <v>20</v>
      </c>
    </row>
    <row r="63" spans="1:19">
      <c r="B63" s="102" t="s">
        <v>271</v>
      </c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>
        <v>0</v>
      </c>
      <c r="N63" s="102">
        <v>0</v>
      </c>
      <c r="O63" s="109"/>
      <c r="P63" s="116"/>
      <c r="Q63" s="116"/>
      <c r="R63" s="116"/>
    </row>
    <row r="64" spans="1:19">
      <c r="B64" s="102" t="s">
        <v>272</v>
      </c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9"/>
      <c r="P64" s="116"/>
      <c r="Q64" s="116"/>
      <c r="R64" s="116"/>
    </row>
    <row r="65" spans="2:18">
      <c r="B65" s="102" t="s">
        <v>273</v>
      </c>
      <c r="C65" s="102"/>
      <c r="D65" s="102"/>
      <c r="E65" s="102"/>
      <c r="F65" s="102"/>
      <c r="G65" s="102"/>
      <c r="H65" s="102"/>
      <c r="I65" s="102"/>
      <c r="J65" s="102"/>
      <c r="K65" s="102"/>
      <c r="L65" s="102">
        <v>1</v>
      </c>
      <c r="M65" s="102">
        <v>2</v>
      </c>
      <c r="N65" s="102"/>
      <c r="O65" s="109"/>
      <c r="P65" s="116"/>
      <c r="Q65" s="116"/>
      <c r="R65" s="116"/>
    </row>
    <row r="66" spans="2:18">
      <c r="B66" s="102" t="s">
        <v>274</v>
      </c>
      <c r="C66" s="102">
        <v>0</v>
      </c>
      <c r="D66" s="102">
        <v>0</v>
      </c>
      <c r="E66" s="102"/>
      <c r="F66" s="102"/>
      <c r="G66" s="102"/>
      <c r="H66" s="102"/>
      <c r="I66" s="102"/>
      <c r="J66" s="102"/>
      <c r="K66" s="102"/>
      <c r="L66" s="102"/>
      <c r="M66" s="102"/>
      <c r="N66" s="102">
        <v>99991231</v>
      </c>
      <c r="O66" s="109"/>
      <c r="P66" s="116"/>
      <c r="Q66" s="116"/>
      <c r="R66" s="116"/>
    </row>
    <row r="67" spans="2:18">
      <c r="B67" s="110" t="s">
        <v>275</v>
      </c>
      <c r="C67" s="110" t="s">
        <v>278</v>
      </c>
      <c r="D67" s="110" t="s">
        <v>278</v>
      </c>
      <c r="E67" s="110" t="s">
        <v>278</v>
      </c>
      <c r="F67" s="110" t="s">
        <v>278</v>
      </c>
      <c r="G67" s="110" t="s">
        <v>278</v>
      </c>
      <c r="H67" s="110" t="s">
        <v>278</v>
      </c>
      <c r="I67" s="110" t="s">
        <v>278</v>
      </c>
      <c r="J67" s="110"/>
      <c r="K67" s="110"/>
      <c r="L67" s="110" t="s">
        <v>278</v>
      </c>
      <c r="M67" s="110" t="s">
        <v>278</v>
      </c>
      <c r="N67" s="110" t="s">
        <v>278</v>
      </c>
      <c r="O67" s="111" t="s">
        <v>278</v>
      </c>
      <c r="P67" s="116" t="s">
        <v>278</v>
      </c>
      <c r="Q67" s="116" t="s">
        <v>278</v>
      </c>
      <c r="R67" s="116"/>
    </row>
    <row r="68" spans="2:18">
      <c r="B68" s="108" t="s">
        <v>604</v>
      </c>
      <c r="C68" s="108" t="s">
        <v>81</v>
      </c>
      <c r="D68" s="108" t="s">
        <v>81</v>
      </c>
      <c r="E68" s="108" t="s">
        <v>249</v>
      </c>
      <c r="F68" s="108" t="s">
        <v>249</v>
      </c>
      <c r="G68" s="108" t="s">
        <v>250</v>
      </c>
      <c r="H68" s="108" t="s">
        <v>249</v>
      </c>
      <c r="I68" s="108" t="s">
        <v>251</v>
      </c>
      <c r="J68" s="108" t="s">
        <v>252</v>
      </c>
      <c r="K68" s="108" t="s">
        <v>253</v>
      </c>
      <c r="L68" s="113" t="s">
        <v>524</v>
      </c>
      <c r="M68" s="113">
        <v>20250404</v>
      </c>
      <c r="N68" s="113">
        <v>20261201</v>
      </c>
      <c r="O68" s="108" t="s">
        <v>596</v>
      </c>
      <c r="P68" s="108" t="s">
        <v>86</v>
      </c>
      <c r="Q68" s="108" t="s">
        <v>524</v>
      </c>
      <c r="R68" s="108" t="s">
        <v>595</v>
      </c>
    </row>
    <row r="76" spans="2:18">
      <c r="B76" s="101" t="s">
        <v>531</v>
      </c>
    </row>
    <row r="77" spans="2:18">
      <c r="B77" s="102" t="s">
        <v>267</v>
      </c>
      <c r="C77" s="102" t="s">
        <v>276</v>
      </c>
      <c r="D77" s="102" t="s">
        <v>279</v>
      </c>
      <c r="E77" s="102" t="s">
        <v>281</v>
      </c>
      <c r="F77" s="102" t="s">
        <v>283</v>
      </c>
      <c r="G77" s="102" t="s">
        <v>284</v>
      </c>
      <c r="H77" s="102" t="s">
        <v>286</v>
      </c>
      <c r="I77" s="102" t="s">
        <v>287</v>
      </c>
      <c r="J77" s="102" t="s">
        <v>288</v>
      </c>
      <c r="K77" s="102" t="s">
        <v>289</v>
      </c>
      <c r="L77" s="102" t="s">
        <v>442</v>
      </c>
      <c r="M77" s="102" t="s">
        <v>291</v>
      </c>
      <c r="N77" s="102" t="s">
        <v>243</v>
      </c>
      <c r="O77" s="102" t="s">
        <v>444</v>
      </c>
      <c r="P77" s="102" t="s">
        <v>446</v>
      </c>
      <c r="Q77" s="102" t="s">
        <v>292</v>
      </c>
    </row>
    <row r="78" spans="2:18">
      <c r="B78" s="102" t="s">
        <v>268</v>
      </c>
      <c r="C78" s="102" t="s">
        <v>254</v>
      </c>
      <c r="D78" s="102" t="s">
        <v>255</v>
      </c>
      <c r="E78" s="102" t="s">
        <v>256</v>
      </c>
      <c r="F78" s="102" t="s">
        <v>257</v>
      </c>
      <c r="G78" s="102" t="s">
        <v>258</v>
      </c>
      <c r="H78" s="102" t="s">
        <v>259</v>
      </c>
      <c r="I78" s="102" t="s">
        <v>260</v>
      </c>
      <c r="J78" s="102" t="s">
        <v>261</v>
      </c>
      <c r="K78" s="102" t="s">
        <v>262</v>
      </c>
      <c r="L78" s="102" t="s">
        <v>437</v>
      </c>
      <c r="M78" s="102" t="s">
        <v>264</v>
      </c>
      <c r="N78" s="102" t="s">
        <v>265</v>
      </c>
      <c r="O78" s="102" t="s">
        <v>445</v>
      </c>
      <c r="P78" s="102" t="s">
        <v>447</v>
      </c>
      <c r="Q78" s="102" t="s">
        <v>266</v>
      </c>
    </row>
    <row r="79" spans="2:18">
      <c r="B79" s="102" t="s">
        <v>269</v>
      </c>
      <c r="C79" s="102" t="s">
        <v>277</v>
      </c>
      <c r="D79" s="102" t="s">
        <v>280</v>
      </c>
      <c r="E79" s="102" t="s">
        <v>282</v>
      </c>
      <c r="F79" s="102" t="s">
        <v>282</v>
      </c>
      <c r="G79" s="102" t="s">
        <v>285</v>
      </c>
      <c r="H79" s="102" t="s">
        <v>282</v>
      </c>
      <c r="I79" s="102" t="s">
        <v>285</v>
      </c>
      <c r="J79" s="102" t="s">
        <v>282</v>
      </c>
      <c r="K79" s="102" t="s">
        <v>285</v>
      </c>
      <c r="L79" s="102" t="s">
        <v>285</v>
      </c>
      <c r="M79" s="102" t="s">
        <v>280</v>
      </c>
      <c r="N79" s="102" t="s">
        <v>280</v>
      </c>
      <c r="O79" s="102" t="s">
        <v>285</v>
      </c>
      <c r="P79" s="102" t="s">
        <v>285</v>
      </c>
      <c r="Q79" s="102" t="s">
        <v>285</v>
      </c>
    </row>
    <row r="80" spans="2:18">
      <c r="B80" s="102" t="s">
        <v>270</v>
      </c>
      <c r="C80" s="102">
        <v>1</v>
      </c>
      <c r="D80" s="102"/>
      <c r="E80" s="102"/>
      <c r="F80" s="102"/>
      <c r="G80" s="102">
        <v>8</v>
      </c>
      <c r="H80" s="102"/>
      <c r="I80" s="102">
        <v>8</v>
      </c>
      <c r="J80" s="102"/>
      <c r="K80" s="102">
        <v>8</v>
      </c>
      <c r="L80" s="102">
        <v>3</v>
      </c>
      <c r="M80" s="102">
        <v>8</v>
      </c>
      <c r="N80" s="102">
        <v>8</v>
      </c>
      <c r="O80" s="102">
        <v>45</v>
      </c>
      <c r="P80" s="102">
        <v>3</v>
      </c>
      <c r="Q80" s="102">
        <v>20</v>
      </c>
    </row>
    <row r="81" spans="2:17">
      <c r="B81" s="102" t="s">
        <v>271</v>
      </c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>
        <v>0</v>
      </c>
      <c r="N81" s="102">
        <v>0</v>
      </c>
      <c r="O81" s="102"/>
      <c r="P81" s="102"/>
      <c r="Q81" s="102"/>
    </row>
    <row r="82" spans="2:17">
      <c r="B82" s="102" t="s">
        <v>272</v>
      </c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</row>
    <row r="83" spans="2:17">
      <c r="B83" s="102" t="s">
        <v>273</v>
      </c>
      <c r="C83" s="102"/>
      <c r="D83" s="102"/>
      <c r="E83" s="102"/>
      <c r="F83" s="102"/>
      <c r="G83" s="102"/>
      <c r="H83" s="102"/>
      <c r="I83" s="102"/>
      <c r="J83" s="102"/>
      <c r="K83" s="102"/>
      <c r="L83" s="102">
        <v>1</v>
      </c>
      <c r="M83" s="102">
        <v>2</v>
      </c>
      <c r="N83" s="102"/>
      <c r="O83" s="102"/>
      <c r="P83" s="102"/>
      <c r="Q83" s="102"/>
    </row>
    <row r="84" spans="2:17">
      <c r="B84" s="102" t="s">
        <v>274</v>
      </c>
      <c r="C84" s="102">
        <v>0</v>
      </c>
      <c r="D84" s="102">
        <v>0</v>
      </c>
      <c r="E84" s="102"/>
      <c r="F84" s="102"/>
      <c r="G84" s="102"/>
      <c r="H84" s="102"/>
      <c r="I84" s="102"/>
      <c r="J84" s="102"/>
      <c r="K84" s="102"/>
      <c r="L84" s="102"/>
      <c r="M84" s="102"/>
      <c r="N84" s="102">
        <v>99991231</v>
      </c>
      <c r="O84" s="102"/>
      <c r="P84" s="102"/>
      <c r="Q84" s="102"/>
    </row>
    <row r="85" spans="2:17">
      <c r="B85" s="110" t="s">
        <v>275</v>
      </c>
      <c r="C85" s="110" t="s">
        <v>278</v>
      </c>
      <c r="D85" s="110" t="s">
        <v>278</v>
      </c>
      <c r="E85" s="110" t="s">
        <v>278</v>
      </c>
      <c r="F85" s="110" t="s">
        <v>278</v>
      </c>
      <c r="G85" s="110" t="s">
        <v>278</v>
      </c>
      <c r="H85" s="110" t="s">
        <v>278</v>
      </c>
      <c r="I85" s="110" t="s">
        <v>278</v>
      </c>
      <c r="J85" s="110"/>
      <c r="K85" s="110"/>
      <c r="L85" s="110" t="s">
        <v>278</v>
      </c>
      <c r="M85" s="110" t="s">
        <v>278</v>
      </c>
      <c r="N85" s="110" t="s">
        <v>278</v>
      </c>
      <c r="O85" s="110" t="s">
        <v>278</v>
      </c>
      <c r="P85" s="110" t="s">
        <v>278</v>
      </c>
      <c r="Q85" s="110" t="s">
        <v>278</v>
      </c>
    </row>
    <row r="86" spans="2:17">
      <c r="B86" s="108" t="s">
        <v>604</v>
      </c>
      <c r="C86" s="108" t="s">
        <v>81</v>
      </c>
      <c r="D86" s="108" t="s">
        <v>81</v>
      </c>
      <c r="E86" s="108" t="s">
        <v>249</v>
      </c>
      <c r="F86" s="108" t="s">
        <v>249</v>
      </c>
      <c r="G86" s="108" t="s">
        <v>250</v>
      </c>
      <c r="H86" s="108" t="s">
        <v>249</v>
      </c>
      <c r="I86" s="108" t="s">
        <v>251</v>
      </c>
      <c r="J86" s="108" t="s">
        <v>252</v>
      </c>
      <c r="K86" s="108" t="s">
        <v>253</v>
      </c>
      <c r="L86" s="113" t="s">
        <v>526</v>
      </c>
      <c r="M86" s="113">
        <v>20250404</v>
      </c>
      <c r="N86" s="118">
        <v>20261201</v>
      </c>
      <c r="O86" s="108" t="s">
        <v>529</v>
      </c>
      <c r="P86" s="108" t="s">
        <v>526</v>
      </c>
      <c r="Q86" s="108" t="s">
        <v>530</v>
      </c>
    </row>
    <row r="90" spans="2:17" ht="18">
      <c r="B90" s="101" t="s">
        <v>688</v>
      </c>
    </row>
    <row r="91" spans="2:17">
      <c r="B91" s="102" t="s">
        <v>267</v>
      </c>
      <c r="C91" s="102" t="s">
        <v>462</v>
      </c>
      <c r="D91" s="102" t="s">
        <v>689</v>
      </c>
      <c r="E91" s="102" t="s">
        <v>459</v>
      </c>
      <c r="F91" s="102" t="s">
        <v>690</v>
      </c>
      <c r="G91" s="102" t="s">
        <v>691</v>
      </c>
      <c r="H91" s="102" t="s">
        <v>692</v>
      </c>
      <c r="I91" s="102" t="s">
        <v>693</v>
      </c>
      <c r="J91" s="102" t="s">
        <v>694</v>
      </c>
      <c r="K91" s="102" t="s">
        <v>460</v>
      </c>
      <c r="L91" s="102" t="s">
        <v>461</v>
      </c>
    </row>
    <row r="92" spans="2:17">
      <c r="B92" s="102" t="s">
        <v>268</v>
      </c>
      <c r="C92" s="102" t="s">
        <v>318</v>
      </c>
      <c r="D92" s="102" t="s">
        <v>486</v>
      </c>
      <c r="E92" s="102" t="s">
        <v>484</v>
      </c>
      <c r="F92" s="102"/>
      <c r="G92" s="102"/>
      <c r="H92" s="102"/>
      <c r="I92" s="102"/>
      <c r="J92" s="102"/>
      <c r="K92" s="102" t="s">
        <v>320</v>
      </c>
      <c r="L92" s="102" t="s">
        <v>321</v>
      </c>
    </row>
    <row r="93" spans="2:17">
      <c r="B93" s="102" t="s">
        <v>269</v>
      </c>
      <c r="C93" s="102" t="s">
        <v>506</v>
      </c>
      <c r="D93" s="102" t="s">
        <v>509</v>
      </c>
      <c r="E93" s="102" t="s">
        <v>506</v>
      </c>
      <c r="F93" s="102"/>
      <c r="G93" s="102"/>
      <c r="H93" s="102"/>
      <c r="I93" s="102"/>
      <c r="J93" s="102"/>
      <c r="K93" s="102" t="s">
        <v>507</v>
      </c>
      <c r="L93" s="102" t="s">
        <v>507</v>
      </c>
    </row>
    <row r="94" spans="2:17">
      <c r="B94" s="102" t="s">
        <v>270</v>
      </c>
      <c r="C94" s="102">
        <v>4</v>
      </c>
      <c r="D94" s="102">
        <v>30</v>
      </c>
      <c r="E94" s="102">
        <v>2</v>
      </c>
      <c r="F94" s="102"/>
      <c r="G94" s="102"/>
      <c r="H94" s="102"/>
      <c r="I94" s="102"/>
      <c r="J94" s="102"/>
      <c r="K94" s="102">
        <v>8</v>
      </c>
      <c r="L94" s="102">
        <v>8</v>
      </c>
    </row>
    <row r="95" spans="2:17">
      <c r="B95" s="102" t="s">
        <v>271</v>
      </c>
      <c r="C95" s="102"/>
      <c r="D95" s="102"/>
      <c r="E95" s="102"/>
      <c r="F95" s="102"/>
      <c r="G95" s="102"/>
      <c r="H95" s="102"/>
      <c r="I95" s="102"/>
      <c r="J95" s="102"/>
      <c r="K95" s="102"/>
      <c r="L95" s="102"/>
    </row>
    <row r="96" spans="2:17">
      <c r="B96" s="102" t="s">
        <v>272</v>
      </c>
      <c r="C96" s="102"/>
      <c r="D96" s="102"/>
      <c r="E96" s="102"/>
      <c r="F96" s="102"/>
      <c r="G96" s="102"/>
      <c r="H96" s="102"/>
      <c r="I96" s="102"/>
      <c r="J96" s="102"/>
      <c r="K96" s="102"/>
      <c r="L96" s="102"/>
    </row>
    <row r="97" spans="2:35">
      <c r="B97" s="102" t="s">
        <v>273</v>
      </c>
      <c r="C97" s="102"/>
      <c r="D97" s="102"/>
      <c r="E97" s="102">
        <v>1</v>
      </c>
      <c r="F97" s="102"/>
      <c r="G97" s="102"/>
      <c r="H97" s="102"/>
      <c r="I97" s="102"/>
      <c r="J97" s="102"/>
      <c r="K97" s="102">
        <v>2</v>
      </c>
      <c r="L97" s="102"/>
    </row>
    <row r="98" spans="2:35">
      <c r="B98" s="102" t="s">
        <v>274</v>
      </c>
      <c r="C98" s="102"/>
      <c r="D98" s="102"/>
      <c r="E98" s="102"/>
      <c r="F98" s="102"/>
      <c r="G98" s="102"/>
      <c r="H98" s="102"/>
      <c r="I98" s="102"/>
      <c r="J98" s="102"/>
      <c r="K98" s="102"/>
      <c r="L98" s="102" t="s">
        <v>515</v>
      </c>
    </row>
    <row r="99" spans="2:35">
      <c r="B99" s="110" t="s">
        <v>275</v>
      </c>
      <c r="C99" s="110" t="s">
        <v>334</v>
      </c>
      <c r="D99" s="110" t="s">
        <v>334</v>
      </c>
      <c r="E99" s="110" t="s">
        <v>334</v>
      </c>
      <c r="F99" s="110"/>
      <c r="G99" s="110"/>
      <c r="H99" s="110"/>
      <c r="I99" s="110"/>
      <c r="J99" s="110"/>
      <c r="K99" s="110" t="s">
        <v>334</v>
      </c>
      <c r="L99" s="110" t="s">
        <v>334</v>
      </c>
    </row>
    <row r="100" spans="2:35" ht="18">
      <c r="B100" s="108" t="s">
        <v>604</v>
      </c>
      <c r="C100" s="113" t="str">
        <f>O115</f>
        <v>1001</v>
      </c>
      <c r="D100" s="108" t="str">
        <f>Q115</f>
        <v>札幌本社</v>
      </c>
      <c r="E100" s="108" t="str">
        <f>L115</f>
        <v>01</v>
      </c>
      <c r="F100" s="108" t="s">
        <v>695</v>
      </c>
      <c r="G100" s="108" t="s">
        <v>695</v>
      </c>
      <c r="H100" s="108" t="s">
        <v>695</v>
      </c>
      <c r="I100" s="108" t="s">
        <v>695</v>
      </c>
      <c r="J100" s="131" t="s">
        <v>696</v>
      </c>
      <c r="K100" s="113">
        <f>M115</f>
        <v>20250404</v>
      </c>
      <c r="L100" s="113">
        <f>N115</f>
        <v>20261201</v>
      </c>
    </row>
    <row r="105" spans="2:35">
      <c r="B105" s="101" t="s">
        <v>582</v>
      </c>
      <c r="G105" s="101" t="s">
        <v>716</v>
      </c>
      <c r="I105" s="101" t="s">
        <v>715</v>
      </c>
    </row>
    <row r="106" spans="2:35">
      <c r="B106" s="102" t="s">
        <v>450</v>
      </c>
      <c r="C106" s="102" t="s">
        <v>451</v>
      </c>
      <c r="D106" s="102" t="s">
        <v>295</v>
      </c>
      <c r="E106" s="102" t="s">
        <v>452</v>
      </c>
      <c r="F106" s="102" t="s">
        <v>453</v>
      </c>
      <c r="G106" s="102" t="s">
        <v>454</v>
      </c>
      <c r="H106" s="102" t="s">
        <v>455</v>
      </c>
      <c r="I106" s="102" t="s">
        <v>456</v>
      </c>
      <c r="J106" s="102" t="s">
        <v>457</v>
      </c>
      <c r="K106" s="102" t="s">
        <v>458</v>
      </c>
      <c r="L106" s="102" t="s">
        <v>459</v>
      </c>
      <c r="M106" s="102" t="s">
        <v>460</v>
      </c>
      <c r="N106" s="102" t="s">
        <v>461</v>
      </c>
      <c r="O106" s="102" t="s">
        <v>462</v>
      </c>
      <c r="P106" s="102" t="s">
        <v>463</v>
      </c>
      <c r="Q106" s="102" t="s">
        <v>464</v>
      </c>
      <c r="R106" s="102" t="s">
        <v>465</v>
      </c>
      <c r="S106" s="102" t="s">
        <v>466</v>
      </c>
      <c r="T106" s="102" t="s">
        <v>467</v>
      </c>
      <c r="U106" s="102" t="s">
        <v>468</v>
      </c>
      <c r="V106" s="102" t="s">
        <v>469</v>
      </c>
      <c r="W106" s="102" t="s">
        <v>470</v>
      </c>
      <c r="X106" s="102" t="s">
        <v>471</v>
      </c>
      <c r="Y106" s="102" t="s">
        <v>472</v>
      </c>
      <c r="Z106" s="102" t="s">
        <v>473</v>
      </c>
      <c r="AA106" s="102" t="s">
        <v>474</v>
      </c>
      <c r="AB106" s="102" t="s">
        <v>475</v>
      </c>
      <c r="AC106" s="102" t="s">
        <v>476</v>
      </c>
      <c r="AD106" s="102" t="s">
        <v>477</v>
      </c>
      <c r="AE106" s="102" t="s">
        <v>478</v>
      </c>
      <c r="AF106" s="102" t="s">
        <v>479</v>
      </c>
      <c r="AG106" s="102" t="s">
        <v>480</v>
      </c>
      <c r="AH106" s="102" t="s">
        <v>481</v>
      </c>
      <c r="AI106" s="102" t="s">
        <v>482</v>
      </c>
    </row>
    <row r="107" spans="2:35">
      <c r="B107" s="102" t="s">
        <v>483</v>
      </c>
      <c r="C107" s="102" t="s">
        <v>309</v>
      </c>
      <c r="D107" s="102" t="s">
        <v>310</v>
      </c>
      <c r="E107" s="102" t="s">
        <v>311</v>
      </c>
      <c r="F107" s="102" t="s">
        <v>312</v>
      </c>
      <c r="G107" s="102" t="s">
        <v>313</v>
      </c>
      <c r="H107" s="102" t="s">
        <v>314</v>
      </c>
      <c r="I107" s="102" t="s">
        <v>315</v>
      </c>
      <c r="J107" s="102" t="s">
        <v>316</v>
      </c>
      <c r="K107" s="102" t="s">
        <v>317</v>
      </c>
      <c r="L107" s="102" t="s">
        <v>484</v>
      </c>
      <c r="M107" s="102" t="s">
        <v>320</v>
      </c>
      <c r="N107" s="102" t="s">
        <v>321</v>
      </c>
      <c r="O107" s="102" t="s">
        <v>318</v>
      </c>
      <c r="P107" s="102" t="s">
        <v>485</v>
      </c>
      <c r="Q107" s="102" t="s">
        <v>486</v>
      </c>
      <c r="R107" s="102" t="s">
        <v>487</v>
      </c>
      <c r="S107" s="102" t="s">
        <v>488</v>
      </c>
      <c r="T107" s="102" t="s">
        <v>489</v>
      </c>
      <c r="U107" s="102" t="s">
        <v>490</v>
      </c>
      <c r="V107" s="102" t="s">
        <v>491</v>
      </c>
      <c r="W107" s="102" t="s">
        <v>492</v>
      </c>
      <c r="X107" s="102" t="s">
        <v>493</v>
      </c>
      <c r="Y107" s="102" t="s">
        <v>494</v>
      </c>
      <c r="Z107" s="102" t="s">
        <v>495</v>
      </c>
      <c r="AA107" s="102" t="s">
        <v>496</v>
      </c>
      <c r="AB107" s="102" t="s">
        <v>497</v>
      </c>
      <c r="AC107" s="102" t="s">
        <v>498</v>
      </c>
      <c r="AD107" s="102" t="s">
        <v>499</v>
      </c>
      <c r="AE107" s="102" t="s">
        <v>500</v>
      </c>
      <c r="AF107" s="102" t="s">
        <v>501</v>
      </c>
      <c r="AG107" s="102" t="s">
        <v>502</v>
      </c>
      <c r="AH107" s="102" t="s">
        <v>503</v>
      </c>
      <c r="AI107" s="102" t="s">
        <v>504</v>
      </c>
    </row>
    <row r="108" spans="2:35">
      <c r="B108" s="102" t="s">
        <v>505</v>
      </c>
      <c r="C108" s="102" t="s">
        <v>506</v>
      </c>
      <c r="D108" s="102" t="s">
        <v>507</v>
      </c>
      <c r="E108" s="102" t="s">
        <v>508</v>
      </c>
      <c r="F108" s="102" t="s">
        <v>508</v>
      </c>
      <c r="G108" s="102" t="s">
        <v>506</v>
      </c>
      <c r="H108" s="102" t="s">
        <v>508</v>
      </c>
      <c r="I108" s="102" t="s">
        <v>506</v>
      </c>
      <c r="J108" s="102" t="s">
        <v>508</v>
      </c>
      <c r="K108" s="102" t="s">
        <v>506</v>
      </c>
      <c r="L108" s="102" t="s">
        <v>506</v>
      </c>
      <c r="M108" s="102" t="s">
        <v>507</v>
      </c>
      <c r="N108" s="102" t="s">
        <v>507</v>
      </c>
      <c r="O108" s="102" t="s">
        <v>506</v>
      </c>
      <c r="P108" s="102" t="s">
        <v>506</v>
      </c>
      <c r="Q108" s="102" t="s">
        <v>509</v>
      </c>
      <c r="R108" s="102" t="s">
        <v>506</v>
      </c>
      <c r="S108" s="102" t="s">
        <v>509</v>
      </c>
      <c r="T108" s="102" t="s">
        <v>506</v>
      </c>
      <c r="U108" s="102" t="s">
        <v>506</v>
      </c>
      <c r="V108" s="102" t="s">
        <v>506</v>
      </c>
      <c r="W108" s="102" t="s">
        <v>506</v>
      </c>
      <c r="X108" s="102" t="s">
        <v>509</v>
      </c>
      <c r="Y108" s="102" t="s">
        <v>506</v>
      </c>
      <c r="Z108" s="102" t="s">
        <v>509</v>
      </c>
      <c r="AA108" s="102" t="s">
        <v>506</v>
      </c>
      <c r="AB108" s="102" t="s">
        <v>509</v>
      </c>
      <c r="AC108" s="102" t="s">
        <v>506</v>
      </c>
      <c r="AD108" s="102" t="s">
        <v>506</v>
      </c>
      <c r="AE108" s="102" t="s">
        <v>506</v>
      </c>
      <c r="AF108" s="102" t="s">
        <v>506</v>
      </c>
      <c r="AG108" s="102" t="s">
        <v>506</v>
      </c>
      <c r="AH108" s="102" t="s">
        <v>506</v>
      </c>
      <c r="AI108" s="102" t="s">
        <v>506</v>
      </c>
    </row>
    <row r="109" spans="2:35">
      <c r="B109" s="102" t="s">
        <v>510</v>
      </c>
      <c r="C109" s="102">
        <v>1</v>
      </c>
      <c r="D109" s="102">
        <v>9</v>
      </c>
      <c r="E109" s="102">
        <v>19</v>
      </c>
      <c r="F109" s="102">
        <v>19</v>
      </c>
      <c r="G109" s="102">
        <v>8</v>
      </c>
      <c r="H109" s="102">
        <v>19</v>
      </c>
      <c r="I109" s="102">
        <v>8</v>
      </c>
      <c r="J109" s="102">
        <v>19</v>
      </c>
      <c r="K109" s="102">
        <v>8</v>
      </c>
      <c r="L109" s="102">
        <v>2</v>
      </c>
      <c r="M109" s="102">
        <v>8</v>
      </c>
      <c r="N109" s="102">
        <v>8</v>
      </c>
      <c r="O109" s="102">
        <v>4</v>
      </c>
      <c r="P109" s="102">
        <v>1</v>
      </c>
      <c r="Q109" s="102">
        <v>30</v>
      </c>
      <c r="R109" s="102">
        <v>30</v>
      </c>
      <c r="S109" s="102">
        <v>8</v>
      </c>
      <c r="T109" s="102">
        <v>8</v>
      </c>
      <c r="U109" s="102">
        <v>100</v>
      </c>
      <c r="V109" s="102">
        <v>7</v>
      </c>
      <c r="W109" s="102">
        <v>11</v>
      </c>
      <c r="X109" s="102">
        <v>60</v>
      </c>
      <c r="Y109" s="102">
        <v>60</v>
      </c>
      <c r="Z109" s="102">
        <v>20</v>
      </c>
      <c r="AA109" s="102">
        <v>10</v>
      </c>
      <c r="AB109" s="102">
        <v>40</v>
      </c>
      <c r="AC109" s="102">
        <v>40</v>
      </c>
      <c r="AD109" s="102">
        <v>6</v>
      </c>
      <c r="AE109" s="102">
        <v>5</v>
      </c>
      <c r="AF109" s="102">
        <v>5</v>
      </c>
      <c r="AG109" s="102">
        <v>6</v>
      </c>
      <c r="AH109" s="102">
        <v>5</v>
      </c>
      <c r="AI109" s="102">
        <v>5</v>
      </c>
    </row>
    <row r="110" spans="2:35">
      <c r="B110" s="102" t="s">
        <v>511</v>
      </c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</row>
    <row r="111" spans="2:35">
      <c r="B111" s="102" t="s">
        <v>330</v>
      </c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</row>
    <row r="112" spans="2:35">
      <c r="B112" s="102" t="s">
        <v>331</v>
      </c>
      <c r="C112" s="102"/>
      <c r="D112" s="102"/>
      <c r="E112" s="102"/>
      <c r="F112" s="102"/>
      <c r="G112" s="102"/>
      <c r="H112" s="102"/>
      <c r="I112" s="102"/>
      <c r="J112" s="102"/>
      <c r="K112" s="102"/>
      <c r="L112" s="102">
        <v>1</v>
      </c>
      <c r="M112" s="102">
        <v>2</v>
      </c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</row>
    <row r="113" spans="2:35">
      <c r="B113" s="102" t="s">
        <v>512</v>
      </c>
      <c r="C113" s="102" t="s">
        <v>513</v>
      </c>
      <c r="D113" s="102">
        <v>0</v>
      </c>
      <c r="E113" s="102" t="s">
        <v>514</v>
      </c>
      <c r="F113" s="102" t="s">
        <v>514</v>
      </c>
      <c r="G113" s="102"/>
      <c r="H113" s="102"/>
      <c r="I113" s="102"/>
      <c r="J113" s="102"/>
      <c r="K113" s="102"/>
      <c r="L113" s="102"/>
      <c r="M113" s="102"/>
      <c r="N113" s="102" t="s">
        <v>515</v>
      </c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</row>
    <row r="114" spans="2:35">
      <c r="B114" s="110" t="s">
        <v>333</v>
      </c>
      <c r="C114" s="110" t="s">
        <v>334</v>
      </c>
      <c r="D114" s="110" t="s">
        <v>334</v>
      </c>
      <c r="E114" s="110" t="s">
        <v>334</v>
      </c>
      <c r="F114" s="110" t="s">
        <v>334</v>
      </c>
      <c r="G114" s="110" t="s">
        <v>334</v>
      </c>
      <c r="H114" s="110"/>
      <c r="I114" s="110" t="s">
        <v>334</v>
      </c>
      <c r="J114" s="110"/>
      <c r="K114" s="110" t="s">
        <v>334</v>
      </c>
      <c r="L114" s="110" t="s">
        <v>334</v>
      </c>
      <c r="M114" s="110" t="s">
        <v>334</v>
      </c>
      <c r="N114" s="110" t="s">
        <v>334</v>
      </c>
      <c r="O114" s="110" t="s">
        <v>334</v>
      </c>
      <c r="P114" s="110" t="s">
        <v>334</v>
      </c>
      <c r="Q114" s="110" t="s">
        <v>334</v>
      </c>
      <c r="R114" s="110" t="s">
        <v>334</v>
      </c>
      <c r="S114" s="110" t="s">
        <v>334</v>
      </c>
      <c r="T114" s="110" t="s">
        <v>334</v>
      </c>
      <c r="U114" s="110" t="s">
        <v>334</v>
      </c>
      <c r="V114" s="110" t="s">
        <v>334</v>
      </c>
      <c r="W114" s="110" t="s">
        <v>334</v>
      </c>
      <c r="X114" s="110" t="s">
        <v>334</v>
      </c>
      <c r="Y114" s="110" t="s">
        <v>334</v>
      </c>
      <c r="Z114" s="110" t="s">
        <v>334</v>
      </c>
      <c r="AA114" s="110" t="s">
        <v>334</v>
      </c>
      <c r="AB114" s="110" t="s">
        <v>334</v>
      </c>
      <c r="AC114" s="110" t="s">
        <v>334</v>
      </c>
      <c r="AD114" s="110" t="s">
        <v>334</v>
      </c>
      <c r="AE114" s="110" t="s">
        <v>334</v>
      </c>
      <c r="AF114" s="110" t="s">
        <v>334</v>
      </c>
      <c r="AG114" s="110" t="s">
        <v>334</v>
      </c>
      <c r="AH114" s="110" t="s">
        <v>334</v>
      </c>
      <c r="AI114" s="110" t="s">
        <v>334</v>
      </c>
    </row>
    <row r="115" spans="2:35">
      <c r="B115" s="108" t="s">
        <v>604</v>
      </c>
      <c r="C115" s="108" t="s">
        <v>81</v>
      </c>
      <c r="D115" s="108" t="s">
        <v>81</v>
      </c>
      <c r="E115" s="108" t="s">
        <v>563</v>
      </c>
      <c r="F115" s="108" t="s">
        <v>563</v>
      </c>
      <c r="G115" s="108" t="s">
        <v>543</v>
      </c>
      <c r="H115" s="108" t="s">
        <v>563</v>
      </c>
      <c r="I115" s="108" t="s">
        <v>543</v>
      </c>
      <c r="J115" s="108" t="s">
        <v>563</v>
      </c>
      <c r="K115" s="108" t="s">
        <v>556</v>
      </c>
      <c r="L115" s="108" t="s">
        <v>524</v>
      </c>
      <c r="M115" s="113">
        <v>20250404</v>
      </c>
      <c r="N115" s="118">
        <v>20261201</v>
      </c>
      <c r="O115" s="108" t="s">
        <v>548</v>
      </c>
      <c r="P115" s="108" t="s">
        <v>86</v>
      </c>
      <c r="Q115" s="108" t="s">
        <v>697</v>
      </c>
      <c r="R115" s="108" t="s">
        <v>565</v>
      </c>
      <c r="S115" s="108" t="s">
        <v>566</v>
      </c>
      <c r="T115" s="108" t="s">
        <v>567</v>
      </c>
      <c r="U115" s="108" t="s">
        <v>568</v>
      </c>
      <c r="V115" s="108" t="s">
        <v>569</v>
      </c>
      <c r="W115" s="108" t="s">
        <v>570</v>
      </c>
      <c r="X115" s="108" t="s">
        <v>571</v>
      </c>
      <c r="Y115" s="108" t="s">
        <v>572</v>
      </c>
      <c r="Z115" s="108" t="s">
        <v>573</v>
      </c>
      <c r="AA115" s="108" t="s">
        <v>574</v>
      </c>
      <c r="AB115" s="108" t="s">
        <v>575</v>
      </c>
      <c r="AC115" s="108" t="s">
        <v>576</v>
      </c>
      <c r="AD115" s="108" t="s">
        <v>577</v>
      </c>
      <c r="AE115" s="108" t="s">
        <v>578</v>
      </c>
      <c r="AF115" s="108" t="s">
        <v>579</v>
      </c>
      <c r="AG115" s="108" t="s">
        <v>577</v>
      </c>
      <c r="AH115" s="108" t="s">
        <v>578</v>
      </c>
      <c r="AI115" s="108" t="s">
        <v>580</v>
      </c>
    </row>
  </sheetData>
  <phoneticPr fontId="4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F2F5-94E4-4D47-AF65-B18A56F3D337}">
  <dimension ref="B3:AK31"/>
  <sheetViews>
    <sheetView zoomScaleNormal="100" workbookViewId="0"/>
  </sheetViews>
  <sheetFormatPr defaultColWidth="10.625" defaultRowHeight="13.5"/>
  <cols>
    <col min="1" max="4" width="10.625" style="100"/>
    <col min="5" max="5" width="13.875" style="100" bestFit="1" customWidth="1"/>
    <col min="6" max="6" width="25" style="100" bestFit="1" customWidth="1"/>
    <col min="7" max="7" width="10.625" style="100"/>
    <col min="8" max="8" width="22.5" style="100" customWidth="1"/>
    <col min="9" max="9" width="18.5" style="100" customWidth="1"/>
    <col min="10" max="11" width="10.625" style="100"/>
    <col min="12" max="12" width="15.625" style="100" customWidth="1"/>
    <col min="13" max="13" width="13.875" style="100" bestFit="1" customWidth="1"/>
    <col min="14" max="16" width="10.625" style="100"/>
    <col min="17" max="17" width="10.625" style="100" customWidth="1"/>
    <col min="18" max="16384" width="10.625" style="100"/>
  </cols>
  <sheetData>
    <row r="3" spans="2:37">
      <c r="B3" s="101"/>
    </row>
    <row r="4" spans="2:37">
      <c r="B4" s="101" t="s">
        <v>44</v>
      </c>
      <c r="C4" s="100" t="s">
        <v>741</v>
      </c>
    </row>
    <row r="5" spans="2:37" ht="14.25">
      <c r="B5" s="122" t="s">
        <v>354</v>
      </c>
      <c r="C5" s="102" t="s">
        <v>304</v>
      </c>
      <c r="D5" s="122" t="s">
        <v>374</v>
      </c>
      <c r="E5" s="122" t="s">
        <v>377</v>
      </c>
      <c r="F5" s="122" t="s">
        <v>380</v>
      </c>
      <c r="G5" s="122" t="s">
        <v>597</v>
      </c>
    </row>
    <row r="6" spans="2:37" ht="14.25">
      <c r="B6" s="122" t="s">
        <v>355</v>
      </c>
      <c r="C6" s="102" t="s">
        <v>319</v>
      </c>
      <c r="D6" s="122" t="s">
        <v>587</v>
      </c>
      <c r="E6" s="122" t="s">
        <v>586</v>
      </c>
      <c r="F6" s="122" t="s">
        <v>585</v>
      </c>
      <c r="G6" s="122"/>
    </row>
    <row r="7" spans="2:37">
      <c r="B7" s="105" t="s">
        <v>353</v>
      </c>
      <c r="C7" s="105" t="s">
        <v>603</v>
      </c>
      <c r="D7" s="105" t="s">
        <v>584</v>
      </c>
      <c r="E7" s="105" t="s">
        <v>356</v>
      </c>
      <c r="F7" s="105" t="s">
        <v>601</v>
      </c>
      <c r="G7" s="105">
        <v>202505</v>
      </c>
    </row>
    <row r="8" spans="2:37">
      <c r="B8" s="105" t="s">
        <v>357</v>
      </c>
      <c r="C8" s="105" t="s">
        <v>45</v>
      </c>
      <c r="D8" s="105" t="s">
        <v>584</v>
      </c>
      <c r="E8" s="105" t="s">
        <v>362</v>
      </c>
      <c r="F8" s="105" t="s">
        <v>601</v>
      </c>
      <c r="G8" s="105">
        <v>202505</v>
      </c>
    </row>
    <row r="9" spans="2:37">
      <c r="B9" s="105" t="s">
        <v>358</v>
      </c>
      <c r="C9" s="105" t="s">
        <v>45</v>
      </c>
      <c r="D9" s="105" t="s">
        <v>220</v>
      </c>
      <c r="E9" s="105" t="s">
        <v>363</v>
      </c>
      <c r="F9" s="105" t="s">
        <v>602</v>
      </c>
      <c r="G9" s="105">
        <v>202505</v>
      </c>
    </row>
    <row r="10" spans="2:37">
      <c r="B10" s="105" t="s">
        <v>359</v>
      </c>
      <c r="C10" s="105" t="s">
        <v>45</v>
      </c>
      <c r="D10" s="105" t="s">
        <v>584</v>
      </c>
      <c r="E10" s="105" t="s">
        <v>364</v>
      </c>
      <c r="F10" s="105" t="s">
        <v>45</v>
      </c>
      <c r="G10" s="105">
        <v>202505</v>
      </c>
    </row>
    <row r="11" spans="2:37">
      <c r="B11" s="105" t="s">
        <v>360</v>
      </c>
      <c r="C11" s="105" t="s">
        <v>603</v>
      </c>
      <c r="D11" s="105" t="s">
        <v>584</v>
      </c>
      <c r="E11" s="105" t="s">
        <v>365</v>
      </c>
      <c r="F11" s="105" t="s">
        <v>601</v>
      </c>
      <c r="G11" s="105">
        <v>299912</v>
      </c>
    </row>
    <row r="12" spans="2:37">
      <c r="B12" s="105" t="s">
        <v>361</v>
      </c>
      <c r="C12" s="105" t="s">
        <v>603</v>
      </c>
      <c r="D12" s="105" t="s">
        <v>584</v>
      </c>
      <c r="E12" s="105" t="s">
        <v>45</v>
      </c>
      <c r="F12" s="105" t="s">
        <v>601</v>
      </c>
      <c r="G12" s="105" t="s">
        <v>45</v>
      </c>
    </row>
    <row r="15" spans="2:37"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 spans="2:37">
      <c r="B16" s="101" t="s">
        <v>352</v>
      </c>
      <c r="C16" s="100" t="s">
        <v>719</v>
      </c>
    </row>
    <row r="17" spans="2:37" ht="14.25">
      <c r="B17" s="122" t="s">
        <v>354</v>
      </c>
      <c r="C17" s="122" t="s">
        <v>383</v>
      </c>
      <c r="D17" s="122" t="s">
        <v>290</v>
      </c>
      <c r="E17" s="122" t="s">
        <v>700</v>
      </c>
      <c r="F17" s="122" t="s">
        <v>644</v>
      </c>
      <c r="G17" s="122" t="s">
        <v>386</v>
      </c>
      <c r="H17" s="122" t="s">
        <v>701</v>
      </c>
      <c r="I17" s="122" t="s">
        <v>702</v>
      </c>
      <c r="J17" s="122" t="s">
        <v>436</v>
      </c>
      <c r="K17" s="122" t="s">
        <v>444</v>
      </c>
      <c r="L17" s="122" t="s">
        <v>703</v>
      </c>
      <c r="M17" s="122" t="s">
        <v>704</v>
      </c>
      <c r="N17" s="122" t="s">
        <v>723</v>
      </c>
      <c r="O17" s="122" t="s">
        <v>724</v>
      </c>
      <c r="P17" s="122" t="s">
        <v>705</v>
      </c>
      <c r="Q17" s="122" t="s">
        <v>717</v>
      </c>
      <c r="R17" s="122" t="s">
        <v>706</v>
      </c>
      <c r="S17" s="122" t="s">
        <v>707</v>
      </c>
      <c r="T17" s="122" t="s">
        <v>718</v>
      </c>
      <c r="U17" s="122" t="s">
        <v>645</v>
      </c>
      <c r="V17" s="122" t="s">
        <v>708</v>
      </c>
      <c r="W17" s="122" t="s">
        <v>646</v>
      </c>
      <c r="X17" s="122" t="s">
        <v>647</v>
      </c>
      <c r="Y17" s="122" t="s">
        <v>709</v>
      </c>
      <c r="Z17" s="122" t="s">
        <v>710</v>
      </c>
      <c r="AA17" s="122" t="s">
        <v>711</v>
      </c>
      <c r="AB17" s="122" t="s">
        <v>726</v>
      </c>
      <c r="AC17" s="122" t="s">
        <v>650</v>
      </c>
      <c r="AD17" s="122" t="s">
        <v>725</v>
      </c>
      <c r="AE17" s="122" t="s">
        <v>727</v>
      </c>
      <c r="AF17" s="122" t="s">
        <v>729</v>
      </c>
      <c r="AG17" s="122" t="s">
        <v>730</v>
      </c>
      <c r="AH17" s="122" t="s">
        <v>728</v>
      </c>
      <c r="AI17" s="122" t="s">
        <v>648</v>
      </c>
      <c r="AJ17" s="122" t="s">
        <v>649</v>
      </c>
      <c r="AK17" s="122" t="s">
        <v>712</v>
      </c>
    </row>
    <row r="18" spans="2:37" ht="14.25">
      <c r="B18" s="122" t="s">
        <v>355</v>
      </c>
      <c r="C18" s="122" t="s">
        <v>713</v>
      </c>
      <c r="D18" s="122" t="s">
        <v>350</v>
      </c>
      <c r="E18" s="122" t="s">
        <v>350</v>
      </c>
      <c r="F18" s="122" t="s">
        <v>350</v>
      </c>
      <c r="G18" s="122" t="s">
        <v>350</v>
      </c>
      <c r="H18" s="122" t="s">
        <v>350</v>
      </c>
      <c r="I18" s="122" t="s">
        <v>350</v>
      </c>
      <c r="J18" s="122" t="s">
        <v>350</v>
      </c>
      <c r="K18" s="122" t="s">
        <v>350</v>
      </c>
      <c r="L18" s="122" t="s">
        <v>350</v>
      </c>
      <c r="M18" s="122" t="s">
        <v>350</v>
      </c>
      <c r="N18" s="122" t="s">
        <v>714</v>
      </c>
      <c r="O18" s="122" t="s">
        <v>714</v>
      </c>
      <c r="P18" s="122" t="s">
        <v>714</v>
      </c>
      <c r="Q18" s="122" t="s">
        <v>714</v>
      </c>
      <c r="R18" s="122" t="s">
        <v>714</v>
      </c>
      <c r="S18" s="122" t="s">
        <v>714</v>
      </c>
      <c r="T18" s="122" t="s">
        <v>714</v>
      </c>
      <c r="U18" s="122" t="s">
        <v>714</v>
      </c>
      <c r="V18" s="122" t="s">
        <v>714</v>
      </c>
      <c r="W18" s="122" t="s">
        <v>714</v>
      </c>
      <c r="X18" s="122" t="s">
        <v>714</v>
      </c>
      <c r="Y18" s="122" t="s">
        <v>714</v>
      </c>
      <c r="Z18" s="122" t="s">
        <v>714</v>
      </c>
      <c r="AA18" s="122" t="s">
        <v>714</v>
      </c>
      <c r="AB18" s="122" t="s">
        <v>714</v>
      </c>
      <c r="AC18" s="122" t="s">
        <v>714</v>
      </c>
      <c r="AD18" s="122" t="s">
        <v>714</v>
      </c>
      <c r="AE18" s="122" t="s">
        <v>714</v>
      </c>
      <c r="AF18" s="122" t="s">
        <v>714</v>
      </c>
      <c r="AG18" s="122" t="s">
        <v>714</v>
      </c>
      <c r="AH18" s="122" t="s">
        <v>714</v>
      </c>
      <c r="AI18" s="122" t="s">
        <v>714</v>
      </c>
      <c r="AJ18" s="122" t="s">
        <v>714</v>
      </c>
      <c r="AK18" s="122" t="s">
        <v>714</v>
      </c>
    </row>
    <row r="19" spans="2:37">
      <c r="B19" s="125" t="s">
        <v>353</v>
      </c>
      <c r="C19" s="123" t="str">
        <f>'テストデータDB（No.3）'!C43</f>
        <v>202505</v>
      </c>
      <c r="D19" s="123" t="str">
        <f>'テストデータDB（No.3）'!D43</f>
        <v>01</v>
      </c>
      <c r="E19" s="108" t="str">
        <f>'テストデータDB（No.3）'!O68</f>
        <v>共通・管理業種</v>
      </c>
      <c r="F19" s="123" t="str">
        <f>'テストデータDB（No.3）'!E43</f>
        <v>101001</v>
      </c>
      <c r="G19" s="123" t="str">
        <f>'テストデータDB（No.3）'!F43</f>
        <v>2025</v>
      </c>
      <c r="H19" s="123" t="str">
        <f>'テストデータDB（No.3）'!E100 &amp; "-" &amp; 'テストデータDB（No.3）'!G43</f>
        <v>01-1001</v>
      </c>
      <c r="I19" s="123" t="str">
        <f>'テストデータDB（No.3）'!Q115 &amp; " " &amp; 'テストデータDB（No.3）'!D100</f>
        <v>札幌本社 札幌本社</v>
      </c>
      <c r="J19" s="108" t="str">
        <f>'テストデータDB（No.3）'!H43</f>
        <v>101</v>
      </c>
      <c r="K19" s="108" t="str">
        <f>'テストデータDB（No.3）'!O86</f>
        <v>馬鈴薯類</v>
      </c>
      <c r="L19" s="108" t="str">
        <f>'テストデータDB（No.3）'!I43</f>
        <v>01</v>
      </c>
      <c r="M19" s="108" t="str">
        <f>'テストデータDB（No.3）'!Q115</f>
        <v>札幌本社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Z19" s="123">
        <v>0</v>
      </c>
      <c r="AA19" s="123">
        <v>0</v>
      </c>
      <c r="AB19" s="123">
        <v>0</v>
      </c>
      <c r="AC19" s="123">
        <v>0</v>
      </c>
      <c r="AD19" s="123">
        <v>0</v>
      </c>
      <c r="AE19" s="123">
        <v>0</v>
      </c>
      <c r="AF19" s="123">
        <v>0</v>
      </c>
      <c r="AG19" s="123">
        <v>0</v>
      </c>
      <c r="AH19" s="123">
        <v>0</v>
      </c>
      <c r="AI19" s="123">
        <v>0</v>
      </c>
      <c r="AJ19" s="123">
        <v>0</v>
      </c>
      <c r="AK19" s="123">
        <v>0</v>
      </c>
    </row>
    <row r="20" spans="2:37" ht="18">
      <c r="B20" s="125" t="s">
        <v>353</v>
      </c>
      <c r="C20" s="123" t="str">
        <f>'テストデータDB（No.3）'!C47</f>
        <v>202505</v>
      </c>
      <c r="D20" s="123" t="str">
        <f>'テストデータDB（No.3）'!D47</f>
        <v>01</v>
      </c>
      <c r="E20" s="108" t="str">
        <f>'テストデータDB（No.3）'!O68</f>
        <v>共通・管理業種</v>
      </c>
      <c r="F20" s="123" t="str">
        <f>'テストデータDB（No.3）'!E47</f>
        <v>101001</v>
      </c>
      <c r="G20" s="123" t="str">
        <f>'テストデータDB（No.3）'!F47</f>
        <v>2025</v>
      </c>
      <c r="H20" s="123" t="str">
        <f>'テストデータDB（No.3）'!E100 &amp; "-" &amp; 'テストデータDB（No.3）'!G47</f>
        <v>01-1001</v>
      </c>
      <c r="I20" s="123" t="str">
        <f>'テストデータDB（No.3）'!Q115 &amp; " " &amp; 'テストデータDB（No.3）'!D100</f>
        <v>札幌本社 札幌本社</v>
      </c>
      <c r="J20" s="108" t="str">
        <f>'テストデータDB（No.3）'!H47</f>
        <v>111</v>
      </c>
      <c r="K20" s="108">
        <f>'テストデータDB（No.3）'!O90</f>
        <v>0</v>
      </c>
      <c r="L20" s="108" t="str">
        <f>'テストデータDB（No.3）'!I47</f>
        <v>01</v>
      </c>
      <c r="M20" s="108" t="str">
        <f>'テストデータDB（No.3）'!Q115</f>
        <v>札幌本社</v>
      </c>
      <c r="N20" s="123">
        <v>0</v>
      </c>
      <c r="O20" s="123">
        <v>0</v>
      </c>
      <c r="P20" s="123">
        <v>0</v>
      </c>
      <c r="Q20" s="123">
        <v>0</v>
      </c>
      <c r="R20" s="123">
        <v>0</v>
      </c>
      <c r="S20" s="123">
        <v>0</v>
      </c>
      <c r="T20" s="123">
        <v>0</v>
      </c>
      <c r="U20" s="123">
        <v>0</v>
      </c>
      <c r="V20" s="123">
        <v>0</v>
      </c>
      <c r="W20" s="123">
        <v>0</v>
      </c>
      <c r="X20" s="123">
        <v>0</v>
      </c>
      <c r="Y20" s="123">
        <v>0</v>
      </c>
      <c r="Z20" s="123">
        <v>0</v>
      </c>
      <c r="AA20" s="123">
        <v>0</v>
      </c>
      <c r="AB20" s="123">
        <v>0</v>
      </c>
      <c r="AC20" s="123">
        <v>0</v>
      </c>
      <c r="AD20" s="123">
        <v>0</v>
      </c>
      <c r="AE20" s="123">
        <v>0</v>
      </c>
      <c r="AF20" s="123">
        <v>0</v>
      </c>
      <c r="AG20" s="123">
        <v>0</v>
      </c>
      <c r="AH20" s="123">
        <v>0</v>
      </c>
      <c r="AI20" s="123">
        <v>0</v>
      </c>
      <c r="AJ20" s="123">
        <v>0</v>
      </c>
      <c r="AK20" s="123">
        <v>0</v>
      </c>
    </row>
    <row r="21" spans="2:37" ht="18">
      <c r="B21" s="125" t="s">
        <v>353</v>
      </c>
      <c r="C21" s="123" t="str">
        <f>'テストデータDB（No.3）'!C46</f>
        <v>202505</v>
      </c>
      <c r="D21" s="123" t="str">
        <f>'テストデータDB（No.3）'!D46</f>
        <v>01</v>
      </c>
      <c r="E21" s="108" t="str">
        <f>'テストデータDB（No.3）'!O68</f>
        <v>共通・管理業種</v>
      </c>
      <c r="F21" s="123" t="str">
        <f>'テストデータDB（No.3）'!E46</f>
        <v>101001</v>
      </c>
      <c r="G21" s="123" t="str">
        <f>'テストデータDB（No.3）'!F46</f>
        <v>2025</v>
      </c>
      <c r="H21" s="123" t="str">
        <f>'テストデータDB（No.3）'!E100 &amp; "-" &amp; 'テストデータDB（No.3）'!G46</f>
        <v>01-1002</v>
      </c>
      <c r="I21" s="123" t="str">
        <f>'テストデータDB（No.3）'!Q115 &amp; " " &amp; 'テストデータDB（No.3）'!D100</f>
        <v>札幌本社 札幌本社</v>
      </c>
      <c r="J21" s="108" t="str">
        <f>'テストデータDB（No.3）'!H46</f>
        <v>101</v>
      </c>
      <c r="K21" s="108">
        <f>'テストデータDB（No.3）'!O89</f>
        <v>0</v>
      </c>
      <c r="L21" s="108" t="str">
        <f>'テストデータDB（No.3）'!I46</f>
        <v>01</v>
      </c>
      <c r="M21" s="108" t="str">
        <f>'テストデータDB（No.3）'!Q115</f>
        <v>札幌本社</v>
      </c>
      <c r="N21" s="123">
        <v>0</v>
      </c>
      <c r="O21" s="123">
        <v>0</v>
      </c>
      <c r="P21" s="123">
        <v>0</v>
      </c>
      <c r="Q21" s="123">
        <v>0</v>
      </c>
      <c r="R21" s="123">
        <v>0</v>
      </c>
      <c r="S21" s="123">
        <v>0</v>
      </c>
      <c r="T21" s="123">
        <v>0</v>
      </c>
      <c r="U21" s="123">
        <v>0</v>
      </c>
      <c r="V21" s="123">
        <v>0</v>
      </c>
      <c r="W21" s="123">
        <v>0</v>
      </c>
      <c r="X21" s="123">
        <v>0</v>
      </c>
      <c r="Y21" s="123">
        <v>0</v>
      </c>
      <c r="Z21" s="123">
        <v>0</v>
      </c>
      <c r="AA21" s="123">
        <v>0</v>
      </c>
      <c r="AB21" s="123">
        <v>0</v>
      </c>
      <c r="AC21" s="123">
        <v>0</v>
      </c>
      <c r="AD21" s="123">
        <v>0</v>
      </c>
      <c r="AE21" s="123">
        <v>0</v>
      </c>
      <c r="AF21" s="123">
        <v>0</v>
      </c>
      <c r="AG21" s="123">
        <v>0</v>
      </c>
      <c r="AH21" s="123">
        <v>0</v>
      </c>
      <c r="AI21" s="123">
        <v>0</v>
      </c>
      <c r="AJ21" s="123">
        <v>0</v>
      </c>
      <c r="AK21" s="123">
        <v>0</v>
      </c>
    </row>
    <row r="22" spans="2:37" ht="18">
      <c r="B22" s="125" t="s">
        <v>353</v>
      </c>
      <c r="C22" s="123" t="str">
        <f>'テストデータDB（No.3）'!C45</f>
        <v>202505</v>
      </c>
      <c r="D22" s="123" t="str">
        <f>'テストデータDB（No.3）'!D45</f>
        <v>01</v>
      </c>
      <c r="E22" s="108" t="str">
        <f>'テストデータDB（No.3）'!O68</f>
        <v>共通・管理業種</v>
      </c>
      <c r="F22" s="123" t="str">
        <f>'テストデータDB（No.3）'!E45</f>
        <v>101001</v>
      </c>
      <c r="G22" s="123" t="str">
        <f>'テストデータDB（No.3）'!F45</f>
        <v>2024</v>
      </c>
      <c r="H22" s="123" t="str">
        <f>'テストデータDB（No.3）'!E100 &amp; "-" &amp; 'テストデータDB（No.3）'!G45</f>
        <v>01-1001</v>
      </c>
      <c r="I22" s="123" t="str">
        <f>'テストデータDB（No.3）'!Q115 &amp; " " &amp; 'テストデータDB（No.3）'!D100</f>
        <v>札幌本社 札幌本社</v>
      </c>
      <c r="J22" s="108" t="str">
        <f>'テストデータDB（No.3）'!H45</f>
        <v>101</v>
      </c>
      <c r="K22" s="108">
        <f>'テストデータDB（No.3）'!O88</f>
        <v>0</v>
      </c>
      <c r="L22" s="108" t="str">
        <f>'テストデータDB（No.3）'!I45</f>
        <v>01</v>
      </c>
      <c r="M22" s="108" t="str">
        <f>'テストデータDB（No.3）'!Q115</f>
        <v>札幌本社</v>
      </c>
      <c r="N22" s="123">
        <v>0</v>
      </c>
      <c r="O22" s="123">
        <v>0</v>
      </c>
      <c r="P22" s="123">
        <v>0</v>
      </c>
      <c r="Q22" s="123">
        <v>0</v>
      </c>
      <c r="R22" s="123">
        <v>0</v>
      </c>
      <c r="S22" s="123">
        <v>0</v>
      </c>
      <c r="T22" s="123">
        <v>0</v>
      </c>
      <c r="U22" s="123">
        <v>0</v>
      </c>
      <c r="V22" s="123">
        <v>0</v>
      </c>
      <c r="W22" s="123">
        <v>0</v>
      </c>
      <c r="X22" s="123">
        <v>0</v>
      </c>
      <c r="Y22" s="123">
        <v>0</v>
      </c>
      <c r="Z22" s="123">
        <v>0</v>
      </c>
      <c r="AA22" s="123">
        <v>0</v>
      </c>
      <c r="AB22" s="123">
        <v>0</v>
      </c>
      <c r="AC22" s="123">
        <v>0</v>
      </c>
      <c r="AD22" s="123">
        <v>0</v>
      </c>
      <c r="AE22" s="123">
        <v>0</v>
      </c>
      <c r="AF22" s="123">
        <v>0</v>
      </c>
      <c r="AG22" s="123">
        <v>0</v>
      </c>
      <c r="AH22" s="123">
        <v>0</v>
      </c>
      <c r="AI22" s="123">
        <v>0</v>
      </c>
      <c r="AJ22" s="123">
        <v>0</v>
      </c>
      <c r="AK22" s="123">
        <v>0</v>
      </c>
    </row>
    <row r="23" spans="2:37" ht="18">
      <c r="B23" s="125" t="s">
        <v>353</v>
      </c>
      <c r="C23" s="123" t="str">
        <f>'テストデータDB（No.3）'!C44</f>
        <v>202505</v>
      </c>
      <c r="D23" s="123" t="str">
        <f>'テストデータDB（No.3）'!D44</f>
        <v>01</v>
      </c>
      <c r="E23" s="108" t="str">
        <f>'テストデータDB（No.3）'!O68</f>
        <v>共通・管理業種</v>
      </c>
      <c r="F23" s="123" t="str">
        <f>'テストデータDB（No.3）'!E44</f>
        <v>101011</v>
      </c>
      <c r="G23" s="123" t="str">
        <f>'テストデータDB（No.3）'!F44</f>
        <v>2025</v>
      </c>
      <c r="H23" s="123" t="str">
        <f>'テストデータDB（No.3）'!E100 &amp; "-" &amp; 'テストデータDB（No.3）'!G44</f>
        <v>01-1001</v>
      </c>
      <c r="I23" s="123" t="str">
        <f>'テストデータDB（No.3）'!Q115 &amp; " " &amp; 'テストデータDB（No.3）'!D100</f>
        <v>札幌本社 札幌本社</v>
      </c>
      <c r="J23" s="108" t="str">
        <f>'テストデータDB（No.3）'!H44</f>
        <v>101</v>
      </c>
      <c r="K23" s="108">
        <f>'テストデータDB（No.3）'!O87</f>
        <v>0</v>
      </c>
      <c r="L23" s="108" t="str">
        <f>'テストデータDB（No.3）'!I44</f>
        <v>01</v>
      </c>
      <c r="M23" s="108" t="str">
        <f>'テストデータDB（No.3）'!Q115</f>
        <v>札幌本社</v>
      </c>
      <c r="N23" s="123" t="s">
        <v>722</v>
      </c>
      <c r="O23" s="123" t="s">
        <v>722</v>
      </c>
      <c r="P23" s="123">
        <v>100</v>
      </c>
      <c r="Q23" s="123">
        <v>45000</v>
      </c>
      <c r="R23" s="123">
        <v>45000</v>
      </c>
      <c r="S23" s="133">
        <v>50</v>
      </c>
      <c r="T23" s="123">
        <v>45000</v>
      </c>
      <c r="U23" s="123">
        <v>45000</v>
      </c>
      <c r="V23" s="123">
        <v>100</v>
      </c>
      <c r="W23" s="123">
        <v>45000</v>
      </c>
      <c r="X23" s="123">
        <v>45000</v>
      </c>
      <c r="Y23" s="123">
        <v>100</v>
      </c>
      <c r="Z23" s="117" t="s">
        <v>722</v>
      </c>
      <c r="AA23" s="117" t="s">
        <v>722</v>
      </c>
      <c r="AB23" s="123">
        <v>100</v>
      </c>
      <c r="AC23" s="123">
        <v>45000</v>
      </c>
      <c r="AD23" s="123">
        <v>45000</v>
      </c>
      <c r="AE23" s="123">
        <v>50</v>
      </c>
      <c r="AF23" s="123">
        <v>45000</v>
      </c>
      <c r="AG23" s="123">
        <v>45000</v>
      </c>
      <c r="AH23" s="123">
        <v>100</v>
      </c>
      <c r="AI23" s="123">
        <v>45000</v>
      </c>
      <c r="AJ23" s="123">
        <v>45000</v>
      </c>
      <c r="AK23" s="123">
        <v>100</v>
      </c>
    </row>
    <row r="24" spans="2:37" ht="18">
      <c r="B24" s="125" t="s">
        <v>353</v>
      </c>
      <c r="C24" s="123" t="str">
        <f>'テストデータDB（No.3）'!C48</f>
        <v>202505</v>
      </c>
      <c r="D24" s="123" t="str">
        <f>'テストデータDB（No.3）'!D48</f>
        <v>01</v>
      </c>
      <c r="E24" s="108" t="str">
        <f>'テストデータDB（No.3）'!O68</f>
        <v>共通・管理業種</v>
      </c>
      <c r="F24" s="123" t="str">
        <f>'テストデータDB（No.3）'!E48</f>
        <v>101001</v>
      </c>
      <c r="G24" s="123" t="str">
        <f>'テストデータDB（No.3）'!F48</f>
        <v>2025</v>
      </c>
      <c r="H24" s="123" t="str">
        <f>'テストデータDB（No.3）'!E100 &amp; "-" &amp; 'テストデータDB（No.3）'!G45</f>
        <v>01-1001</v>
      </c>
      <c r="I24" s="123" t="str">
        <f>'テストデータDB（No.3）'!Q115 &amp; " " &amp; 'テストデータDB（No.3）'!D100</f>
        <v>札幌本社 札幌本社</v>
      </c>
      <c r="J24" s="108" t="str">
        <f>'テストデータDB（No.3）'!H48</f>
        <v>101</v>
      </c>
      <c r="K24" s="108">
        <f>'テストデータDB（No.3）'!O91</f>
        <v>0</v>
      </c>
      <c r="L24" s="108" t="str">
        <f>'テストデータDB（No.3）'!I48</f>
        <v>02</v>
      </c>
      <c r="M24" s="108" t="str">
        <f>'テストデータDB（No.3）'!Q115</f>
        <v>札幌本社</v>
      </c>
      <c r="N24" s="123">
        <v>0</v>
      </c>
      <c r="O24" s="123">
        <v>0</v>
      </c>
      <c r="P24" s="123">
        <v>0</v>
      </c>
      <c r="Q24" s="123">
        <v>0</v>
      </c>
      <c r="R24" s="123">
        <v>0</v>
      </c>
      <c r="S24" s="123">
        <v>0</v>
      </c>
      <c r="T24" s="123">
        <v>0</v>
      </c>
      <c r="U24" s="123">
        <v>0</v>
      </c>
      <c r="V24" s="123">
        <v>0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0</v>
      </c>
      <c r="AC24" s="123">
        <v>0</v>
      </c>
      <c r="AD24" s="123">
        <v>0</v>
      </c>
      <c r="AE24" s="123">
        <v>0</v>
      </c>
      <c r="AF24" s="123">
        <v>0</v>
      </c>
      <c r="AG24" s="123">
        <v>0</v>
      </c>
      <c r="AH24" s="123">
        <v>0</v>
      </c>
      <c r="AI24" s="123">
        <v>0</v>
      </c>
      <c r="AJ24" s="123">
        <v>0</v>
      </c>
      <c r="AK24" s="123">
        <v>0</v>
      </c>
    </row>
    <row r="25" spans="2:37">
      <c r="B25" s="125"/>
      <c r="C25" s="123"/>
      <c r="D25" s="123"/>
      <c r="E25" s="190"/>
      <c r="F25" s="123"/>
      <c r="G25" s="123"/>
      <c r="H25" s="123"/>
      <c r="I25" s="123"/>
      <c r="J25" s="108"/>
      <c r="K25" s="108"/>
      <c r="L25" s="108"/>
      <c r="M25" s="108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</row>
    <row r="26" spans="2:37" ht="18">
      <c r="B26" s="125" t="s">
        <v>353</v>
      </c>
      <c r="C26" s="123" t="str">
        <f>'テストデータDB（No.3）'!C50</f>
        <v>202505</v>
      </c>
      <c r="D26" s="123" t="str">
        <f>'テストデータDB（No.3）'!D50</f>
        <v>01</v>
      </c>
      <c r="E26" s="108" t="str">
        <f>'テストデータDB（No.3）'!O68</f>
        <v>共通・管理業種</v>
      </c>
      <c r="F26" s="123" t="str">
        <f>'テストデータDB（No.3）'!E50</f>
        <v>定数.取扱区分.共計</v>
      </c>
      <c r="G26" s="123" t="str">
        <f>'テストデータDB（No.3）'!F50</f>
        <v>2025</v>
      </c>
      <c r="H26" s="123" t="str">
        <f>'テストデータDB（No.3）'!E100 &amp; "-" &amp; 'テストデータDB（No.3）'!G50</f>
        <v>01-1001</v>
      </c>
      <c r="I26" s="123" t="str">
        <f>'テストデータDB（No.3）'!Q115 &amp; " " &amp; 'テストデータDB（No.3）'!D100</f>
        <v>札幌本社 札幌本社</v>
      </c>
      <c r="J26" s="108" t="str">
        <f>'テストデータDB（No.3）'!H50</f>
        <v>101</v>
      </c>
      <c r="K26" s="108">
        <f>'テストデータDB（No.3）'!O93</f>
        <v>0</v>
      </c>
      <c r="L26" s="108" t="str">
        <f>'テストデータDB（No.3）'!I50</f>
        <v>01</v>
      </c>
      <c r="M26" s="108" t="str">
        <f>'テストデータDB（No.3）'!Q115</f>
        <v>札幌本社</v>
      </c>
      <c r="N26" s="123">
        <v>0</v>
      </c>
      <c r="O26" s="123">
        <v>0</v>
      </c>
      <c r="P26" s="123">
        <v>0</v>
      </c>
      <c r="Q26" s="123">
        <v>0</v>
      </c>
      <c r="R26" s="123">
        <v>0</v>
      </c>
      <c r="S26" s="123">
        <v>0</v>
      </c>
      <c r="T26" s="123">
        <v>0</v>
      </c>
      <c r="U26" s="123">
        <v>0</v>
      </c>
      <c r="V26" s="123">
        <v>0</v>
      </c>
      <c r="W26" s="123">
        <v>0</v>
      </c>
      <c r="X26" s="123">
        <v>0</v>
      </c>
      <c r="Y26" s="123">
        <v>0</v>
      </c>
      <c r="Z26" s="123">
        <v>0</v>
      </c>
      <c r="AA26" s="123">
        <v>0</v>
      </c>
      <c r="AB26" s="123">
        <v>0</v>
      </c>
      <c r="AC26" s="123">
        <v>0</v>
      </c>
      <c r="AD26" s="123">
        <v>0</v>
      </c>
      <c r="AE26" s="123">
        <v>0</v>
      </c>
      <c r="AF26" s="123">
        <v>0</v>
      </c>
      <c r="AG26" s="123">
        <v>0</v>
      </c>
      <c r="AH26" s="123">
        <v>0</v>
      </c>
      <c r="AI26" s="123">
        <v>0</v>
      </c>
      <c r="AJ26" s="123">
        <v>0</v>
      </c>
      <c r="AK26" s="123">
        <v>0</v>
      </c>
    </row>
    <row r="27" spans="2:37" ht="18">
      <c r="B27" s="125" t="s">
        <v>353</v>
      </c>
      <c r="C27" s="123" t="str">
        <f>'テストデータDB（No.3）'!C51</f>
        <v>202505</v>
      </c>
      <c r="D27" s="123" t="str">
        <f>'テストデータDB（No.3）'!D51</f>
        <v>01</v>
      </c>
      <c r="E27" s="108" t="str">
        <f>'テストデータDB（No.3）'!O68</f>
        <v>共通・管理業種</v>
      </c>
      <c r="F27" s="123" t="str">
        <f>'テストデータDB（No.3）'!E51</f>
        <v>定数.取扱区分.共計</v>
      </c>
      <c r="G27" s="123" t="str">
        <f>'テストデータDB（No.3）'!F51</f>
        <v>2024</v>
      </c>
      <c r="H27" s="123" t="str">
        <f>'テストデータDB（No.3）'!E100 &amp; "-" &amp; 'テストデータDB（No.3）'!G51</f>
        <v>01-1001</v>
      </c>
      <c r="I27" s="123" t="str">
        <f>'テストデータDB（No.3）'!Q115 &amp; " " &amp; 'テストデータDB（No.3）'!D100</f>
        <v>札幌本社 札幌本社</v>
      </c>
      <c r="J27" s="108" t="str">
        <f>'テストデータDB（No.3）'!H51</f>
        <v>101</v>
      </c>
      <c r="K27" s="108">
        <f>'テストデータDB（No.3）'!O94</f>
        <v>0</v>
      </c>
      <c r="L27" s="108" t="str">
        <f>'テストデータDB（No.3）'!I51</f>
        <v>01</v>
      </c>
      <c r="M27" s="108" t="str">
        <f>'テストデータDB（No.3）'!Q115</f>
        <v>札幌本社</v>
      </c>
      <c r="N27" s="123">
        <v>0</v>
      </c>
      <c r="O27" s="123">
        <v>0</v>
      </c>
      <c r="P27" s="123">
        <v>0</v>
      </c>
      <c r="Q27" s="123">
        <v>0</v>
      </c>
      <c r="R27" s="123">
        <v>0</v>
      </c>
      <c r="S27" s="123">
        <v>0</v>
      </c>
      <c r="T27" s="123">
        <v>0</v>
      </c>
      <c r="U27" s="123">
        <v>0</v>
      </c>
      <c r="V27" s="123">
        <v>0</v>
      </c>
      <c r="W27" s="123">
        <v>0</v>
      </c>
      <c r="X27" s="123">
        <v>0</v>
      </c>
      <c r="Y27" s="123">
        <v>0</v>
      </c>
      <c r="Z27" s="123">
        <v>0</v>
      </c>
      <c r="AA27" s="123">
        <v>0</v>
      </c>
      <c r="AB27" s="123">
        <v>0</v>
      </c>
      <c r="AC27" s="123">
        <v>0</v>
      </c>
      <c r="AD27" s="123">
        <v>0</v>
      </c>
      <c r="AE27" s="123">
        <v>0</v>
      </c>
      <c r="AF27" s="123">
        <v>0</v>
      </c>
      <c r="AG27" s="123">
        <v>0</v>
      </c>
      <c r="AH27" s="123">
        <v>0</v>
      </c>
      <c r="AI27" s="123">
        <v>0</v>
      </c>
      <c r="AJ27" s="123">
        <v>0</v>
      </c>
      <c r="AK27" s="123">
        <v>0</v>
      </c>
    </row>
    <row r="28" spans="2:37" ht="18">
      <c r="B28" s="125" t="s">
        <v>353</v>
      </c>
      <c r="C28" s="123" t="str">
        <f>'テストデータDB（No.3）'!C52</f>
        <v>202505</v>
      </c>
      <c r="D28" s="123" t="str">
        <f>'テストデータDB（No.3）'!D52</f>
        <v>01</v>
      </c>
      <c r="E28" s="108" t="str">
        <f>'テストデータDB（No.3）'!O68</f>
        <v>共通・管理業種</v>
      </c>
      <c r="F28" s="123" t="str">
        <f>'テストデータDB（No.3）'!E52</f>
        <v>定数.取扱区分.共計</v>
      </c>
      <c r="G28" s="123" t="str">
        <f>'テストデータDB（No.3）'!F52</f>
        <v>2025</v>
      </c>
      <c r="H28" s="123" t="str">
        <f>'テストデータDB（No.3）'!E100 &amp; "-" &amp; 'テストデータDB（No.3）'!G52</f>
        <v>01-1002</v>
      </c>
      <c r="I28" s="123" t="str">
        <f>'テストデータDB（No.3）'!Q115 &amp; " " &amp; 'テストデータDB（No.3）'!D100</f>
        <v>札幌本社 札幌本社</v>
      </c>
      <c r="J28" s="108" t="str">
        <f>'テストデータDB（No.3）'!H52</f>
        <v>101</v>
      </c>
      <c r="K28" s="108">
        <f>'テストデータDB（No.3）'!O95</f>
        <v>0</v>
      </c>
      <c r="L28" s="108" t="str">
        <f>'テストデータDB（No.3）'!I52</f>
        <v>01</v>
      </c>
      <c r="M28" s="108" t="str">
        <f>'テストデータDB（No.3）'!Q115</f>
        <v>札幌本社</v>
      </c>
      <c r="N28" s="123">
        <v>0</v>
      </c>
      <c r="O28" s="123">
        <v>0</v>
      </c>
      <c r="P28" s="123">
        <v>0</v>
      </c>
      <c r="Q28" s="123">
        <v>0</v>
      </c>
      <c r="R28" s="123">
        <v>0</v>
      </c>
      <c r="S28" s="123">
        <v>0</v>
      </c>
      <c r="T28" s="123">
        <v>0</v>
      </c>
      <c r="U28" s="123">
        <v>0</v>
      </c>
      <c r="V28" s="123">
        <v>0</v>
      </c>
      <c r="W28" s="123">
        <v>0</v>
      </c>
      <c r="X28" s="123">
        <v>0</v>
      </c>
      <c r="Y28" s="123">
        <v>0</v>
      </c>
      <c r="Z28" s="123">
        <v>0</v>
      </c>
      <c r="AA28" s="123">
        <v>0</v>
      </c>
      <c r="AB28" s="123">
        <v>0</v>
      </c>
      <c r="AC28" s="123">
        <v>0</v>
      </c>
      <c r="AD28" s="123">
        <v>0</v>
      </c>
      <c r="AE28" s="123">
        <v>0</v>
      </c>
      <c r="AF28" s="123">
        <v>0</v>
      </c>
      <c r="AG28" s="123">
        <v>0</v>
      </c>
      <c r="AH28" s="123">
        <v>0</v>
      </c>
      <c r="AI28" s="123">
        <v>0</v>
      </c>
      <c r="AJ28" s="123">
        <v>0</v>
      </c>
      <c r="AK28" s="123">
        <v>0</v>
      </c>
    </row>
    <row r="29" spans="2:37" ht="18">
      <c r="B29" s="125" t="s">
        <v>353</v>
      </c>
      <c r="C29" s="123" t="str">
        <f>'テストデータDB（No.3）'!C53</f>
        <v>202505</v>
      </c>
      <c r="D29" s="123" t="str">
        <f>'テストデータDB（No.3）'!D53</f>
        <v>01</v>
      </c>
      <c r="E29" s="108" t="str">
        <f>'テストデータDB（No.3）'!O68</f>
        <v>共通・管理業種</v>
      </c>
      <c r="F29" s="123" t="str">
        <f>'テストデータDB（No.3）'!E53</f>
        <v>定数.取扱区分.共計</v>
      </c>
      <c r="G29" s="123" t="str">
        <f>'テストデータDB（No.3）'!F53</f>
        <v>2025</v>
      </c>
      <c r="H29" s="123" t="str">
        <f>'テストデータDB（No.3）'!E100 &amp; "-" &amp; 'テストデータDB（No.3）'!G53</f>
        <v>01-1001</v>
      </c>
      <c r="I29" s="123" t="str">
        <f>'テストデータDB（No.3）'!Q115 &amp; " " &amp; 'テストデータDB（No.3）'!D100</f>
        <v>札幌本社 札幌本社</v>
      </c>
      <c r="J29" s="108" t="str">
        <f>'テストデータDB（No.3）'!H53</f>
        <v>111</v>
      </c>
      <c r="K29" s="108">
        <f>'テストデータDB（No.3）'!O96</f>
        <v>0</v>
      </c>
      <c r="L29" s="108" t="str">
        <f>'テストデータDB（No.3）'!I53</f>
        <v>01</v>
      </c>
      <c r="M29" s="108" t="str">
        <f>'テストデータDB（No.3）'!Q115</f>
        <v>札幌本社</v>
      </c>
      <c r="N29" s="123">
        <v>0</v>
      </c>
      <c r="O29" s="123">
        <v>0</v>
      </c>
      <c r="P29" s="123">
        <v>0</v>
      </c>
      <c r="Q29" s="123">
        <v>0</v>
      </c>
      <c r="R29" s="123">
        <v>0</v>
      </c>
      <c r="S29" s="123">
        <v>0</v>
      </c>
      <c r="T29" s="123">
        <v>0</v>
      </c>
      <c r="U29" s="123">
        <v>0</v>
      </c>
      <c r="V29" s="123">
        <v>0</v>
      </c>
      <c r="W29" s="123">
        <v>0</v>
      </c>
      <c r="X29" s="123">
        <v>0</v>
      </c>
      <c r="Y29" s="123">
        <v>0</v>
      </c>
      <c r="Z29" s="123">
        <v>0</v>
      </c>
      <c r="AA29" s="123">
        <v>0</v>
      </c>
      <c r="AB29" s="123">
        <v>0</v>
      </c>
      <c r="AC29" s="123">
        <v>0</v>
      </c>
      <c r="AD29" s="123">
        <v>0</v>
      </c>
      <c r="AE29" s="123">
        <v>0</v>
      </c>
      <c r="AF29" s="123">
        <v>0</v>
      </c>
      <c r="AG29" s="123">
        <v>0</v>
      </c>
      <c r="AH29" s="123">
        <v>0</v>
      </c>
      <c r="AI29" s="123">
        <v>0</v>
      </c>
      <c r="AJ29" s="123">
        <v>0</v>
      </c>
      <c r="AK29" s="123">
        <v>0</v>
      </c>
    </row>
    <row r="30" spans="2:37" ht="18">
      <c r="B30" s="125" t="s">
        <v>353</v>
      </c>
      <c r="C30" s="123" t="str">
        <f>'テストデータDB（No.3）'!C54</f>
        <v>202505</v>
      </c>
      <c r="D30" s="123" t="str">
        <f>'テストデータDB（No.3）'!D54</f>
        <v>01</v>
      </c>
      <c r="E30" s="108" t="str">
        <f>'テストデータDB（No.3）'!O68</f>
        <v>共通・管理業種</v>
      </c>
      <c r="F30" s="123" t="str">
        <f>'テストデータDB（No.3）'!E54</f>
        <v>定数.取扱区分.共計</v>
      </c>
      <c r="G30" s="123" t="str">
        <f>'テストデータDB（No.3）'!F54</f>
        <v>2025</v>
      </c>
      <c r="H30" s="123" t="str">
        <f>'テストデータDB（No.3）'!E100 &amp; "-" &amp; 'テストデータDB（No.3）'!G54</f>
        <v>01-1001</v>
      </c>
      <c r="I30" s="123" t="str">
        <f>'テストデータDB（No.3）'!Q115 &amp; " " &amp; 'テストデータDB（No.3）'!D100</f>
        <v>札幌本社 札幌本社</v>
      </c>
      <c r="J30" s="108" t="str">
        <f>'テストデータDB（No.3）'!H54</f>
        <v>101</v>
      </c>
      <c r="K30" s="108">
        <f>'テストデータDB（No.3）'!O97</f>
        <v>0</v>
      </c>
      <c r="L30" s="108" t="str">
        <f>'テストデータDB（No.3）'!I54</f>
        <v>02</v>
      </c>
      <c r="M30" s="108" t="str">
        <f>'テストデータDB（No.3）'!Q115</f>
        <v>札幌本社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Z30" s="123">
        <v>0</v>
      </c>
      <c r="AA30" s="123">
        <v>0</v>
      </c>
      <c r="AB30" s="123">
        <v>0</v>
      </c>
      <c r="AC30" s="123">
        <v>0</v>
      </c>
      <c r="AD30" s="123">
        <v>0</v>
      </c>
      <c r="AE30" s="123">
        <v>0</v>
      </c>
      <c r="AF30" s="123">
        <v>0</v>
      </c>
      <c r="AG30" s="123">
        <v>0</v>
      </c>
      <c r="AH30" s="123">
        <v>0</v>
      </c>
      <c r="AI30" s="123">
        <v>0</v>
      </c>
      <c r="AJ30" s="123">
        <v>0</v>
      </c>
      <c r="AK30" s="123">
        <v>0</v>
      </c>
    </row>
    <row r="31" spans="2:37">
      <c r="B31" s="125" t="s">
        <v>343</v>
      </c>
      <c r="C31" s="123" t="str">
        <f>'テストデータDB（No.3）'!C43</f>
        <v>202505</v>
      </c>
      <c r="D31" s="123" t="str">
        <f>'テストデータDB（No.3）'!D43</f>
        <v>01</v>
      </c>
      <c r="E31" s="108" t="str">
        <f>'テストデータDB（No.3）'!O68</f>
        <v>共通・管理業種</v>
      </c>
      <c r="F31" s="123" t="str">
        <f>'テストデータDB（No.3）'!E43</f>
        <v>101001</v>
      </c>
      <c r="G31" s="123" t="str">
        <f>'テストデータDB（No.3）'!F43</f>
        <v>2025</v>
      </c>
      <c r="H31" s="123" t="str">
        <f>'テストデータDB（No.3）'!E100 &amp; "-" &amp; 'テストデータDB（No.3）'!G43</f>
        <v>01-1001</v>
      </c>
      <c r="I31" s="123" t="str">
        <f>'テストデータDB（No.3）'!Q115 &amp; " " &amp; 'テストデータDB（No.3）'!D100</f>
        <v>札幌本社 札幌本社</v>
      </c>
      <c r="J31" s="108" t="str">
        <f>'テストデータDB（No.3）'!H43</f>
        <v>101</v>
      </c>
      <c r="K31" s="108" t="str">
        <f>'テストデータDB（No.3）'!O86</f>
        <v>馬鈴薯類</v>
      </c>
      <c r="L31" s="108" t="str">
        <f>'テストデータDB（No.3）'!I43</f>
        <v>01</v>
      </c>
      <c r="M31" s="108" t="str">
        <f>'テストデータDB（No.3）'!Q115</f>
        <v>札幌本社</v>
      </c>
      <c r="N31" s="123">
        <v>0</v>
      </c>
      <c r="O31" s="123">
        <v>0</v>
      </c>
      <c r="P31" s="123">
        <v>0</v>
      </c>
      <c r="Q31" s="123">
        <v>0</v>
      </c>
      <c r="R31" s="123">
        <v>0</v>
      </c>
      <c r="S31" s="123">
        <v>0</v>
      </c>
      <c r="T31" s="123">
        <v>0</v>
      </c>
      <c r="U31" s="123">
        <v>0</v>
      </c>
      <c r="V31" s="123">
        <v>0</v>
      </c>
      <c r="W31" s="123">
        <v>0</v>
      </c>
      <c r="X31" s="123">
        <v>0</v>
      </c>
      <c r="Y31" s="123">
        <v>0</v>
      </c>
      <c r="Z31" s="123">
        <v>0</v>
      </c>
      <c r="AA31" s="123">
        <v>0</v>
      </c>
      <c r="AB31" s="123">
        <v>0</v>
      </c>
      <c r="AC31" s="123">
        <v>0</v>
      </c>
      <c r="AD31" s="123">
        <v>0</v>
      </c>
      <c r="AE31" s="123">
        <v>0</v>
      </c>
      <c r="AF31" s="123">
        <v>0</v>
      </c>
      <c r="AG31" s="123">
        <v>0</v>
      </c>
      <c r="AH31" s="123">
        <v>0</v>
      </c>
      <c r="AI31" s="123">
        <v>0</v>
      </c>
      <c r="AJ31" s="123">
        <v>0</v>
      </c>
      <c r="AK31" s="123">
        <v>0</v>
      </c>
    </row>
  </sheetData>
  <phoneticPr fontId="6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49A5-888C-4C7D-819A-59FF43C8E24C}">
  <sheetPr codeName="Sheet6"/>
  <dimension ref="A1:AV49"/>
  <sheetViews>
    <sheetView zoomScaleNormal="100" workbookViewId="0">
      <selection activeCell="G20" sqref="G20"/>
    </sheetView>
  </sheetViews>
  <sheetFormatPr defaultColWidth="8.875" defaultRowHeight="13.5"/>
  <cols>
    <col min="1" max="1" width="3.375" style="37" customWidth="1"/>
    <col min="2" max="2" width="40.875" style="37" customWidth="1"/>
    <col min="3" max="3" width="18.375" style="37" customWidth="1"/>
    <col min="4" max="4" width="4.5" style="37" customWidth="1"/>
    <col min="5" max="5" width="15.5" style="37" customWidth="1"/>
    <col min="6" max="7" width="24" style="37" customWidth="1"/>
    <col min="8" max="8" width="25.25" style="37" customWidth="1"/>
    <col min="9" max="9" width="20.5" style="37" customWidth="1"/>
    <col min="10" max="10" width="26.75" style="37" bestFit="1" customWidth="1"/>
    <col min="11" max="11" width="25.25" style="37" customWidth="1"/>
    <col min="12" max="12" width="26.75" style="37" bestFit="1" customWidth="1"/>
    <col min="13" max="13" width="22.75" style="37" customWidth="1"/>
    <col min="14" max="16" width="19.125" style="37" bestFit="1" customWidth="1"/>
    <col min="17" max="17" width="20.125" style="37" bestFit="1" customWidth="1"/>
    <col min="18" max="18" width="32" style="37" bestFit="1" customWidth="1"/>
    <col min="19" max="19" width="16.625" style="37" bestFit="1" customWidth="1"/>
    <col min="20" max="20" width="24" style="37" bestFit="1" customWidth="1"/>
    <col min="21" max="22" width="22.75" style="37" bestFit="1" customWidth="1"/>
    <col min="23" max="23" width="20.5" style="37" bestFit="1" customWidth="1"/>
    <col min="24" max="24" width="12.875" style="37" bestFit="1" customWidth="1"/>
    <col min="25" max="25" width="16.625" style="37" bestFit="1" customWidth="1"/>
    <col min="26" max="26" width="31.375" style="37" bestFit="1" customWidth="1"/>
    <col min="27" max="27" width="25.25" style="37" bestFit="1" customWidth="1"/>
    <col min="28" max="16384" width="8.875" style="37"/>
  </cols>
  <sheetData>
    <row r="1" spans="1:28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 spans="1:28">
      <c r="A2" s="39"/>
      <c r="B2" s="39"/>
      <c r="C2" s="39"/>
      <c r="D2" s="39" t="s">
        <v>61</v>
      </c>
      <c r="E2" s="39"/>
      <c r="F2" s="39"/>
      <c r="G2" s="39"/>
      <c r="H2" s="39"/>
      <c r="I2" s="39"/>
      <c r="J2" s="43" t="s">
        <v>92</v>
      </c>
      <c r="K2" s="39"/>
      <c r="L2" s="43" t="s">
        <v>41</v>
      </c>
      <c r="M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>
      <c r="A3" s="39"/>
      <c r="B3" s="39"/>
      <c r="C3" s="39"/>
      <c r="D3" s="39" t="s">
        <v>87</v>
      </c>
      <c r="E3" s="39"/>
      <c r="F3" s="39"/>
      <c r="G3" s="39"/>
      <c r="H3" s="39"/>
      <c r="I3" s="39"/>
      <c r="J3" s="43"/>
      <c r="K3" s="39"/>
      <c r="L3" s="43"/>
      <c r="M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</row>
    <row r="4" spans="1:28" ht="54">
      <c r="A4" s="39"/>
      <c r="B4" s="40" t="s">
        <v>166</v>
      </c>
      <c r="C4" s="41" t="s">
        <v>46</v>
      </c>
      <c r="D4" s="39"/>
      <c r="E4" s="46" t="s">
        <v>67</v>
      </c>
      <c r="F4" s="46" t="s">
        <v>68</v>
      </c>
      <c r="G4" s="46" t="s">
        <v>69</v>
      </c>
      <c r="H4" s="46" t="s">
        <v>70</v>
      </c>
      <c r="I4" s="46" t="s">
        <v>71</v>
      </c>
      <c r="J4" s="46" t="s">
        <v>72</v>
      </c>
      <c r="K4" s="46" t="s">
        <v>73</v>
      </c>
      <c r="L4" s="46" t="s">
        <v>74</v>
      </c>
      <c r="M4" s="46" t="s">
        <v>75</v>
      </c>
      <c r="N4" s="46" t="s">
        <v>76</v>
      </c>
      <c r="O4" s="46" t="s">
        <v>77</v>
      </c>
      <c r="P4" s="46" t="s">
        <v>78</v>
      </c>
      <c r="Q4" s="46" t="s">
        <v>79</v>
      </c>
      <c r="R4" s="46" t="s">
        <v>80</v>
      </c>
      <c r="S4" s="39"/>
      <c r="T4" s="39"/>
      <c r="U4" s="39"/>
      <c r="V4" s="39"/>
      <c r="W4" s="39"/>
      <c r="X4" s="39"/>
      <c r="Y4" s="39"/>
      <c r="Z4" s="39"/>
      <c r="AA4" s="39"/>
      <c r="AB4" s="39"/>
    </row>
    <row r="5" spans="1:28">
      <c r="A5" s="39"/>
      <c r="B5" s="42" t="s">
        <v>62</v>
      </c>
      <c r="C5" s="44">
        <v>1</v>
      </c>
      <c r="D5" s="39"/>
      <c r="E5" s="47" t="s">
        <v>81</v>
      </c>
      <c r="F5" s="48">
        <v>0</v>
      </c>
      <c r="G5" s="53">
        <v>45951.416666666664</v>
      </c>
      <c r="H5" s="53">
        <v>45951.458333333336</v>
      </c>
      <c r="I5" s="47" t="s">
        <v>83</v>
      </c>
      <c r="J5" s="47" t="s">
        <v>168</v>
      </c>
      <c r="K5" s="50" t="s">
        <v>186</v>
      </c>
      <c r="L5" s="53">
        <v>45951.416666666664</v>
      </c>
      <c r="M5" s="53">
        <v>45957.458333333336</v>
      </c>
      <c r="N5" s="47">
        <v>2</v>
      </c>
      <c r="O5" s="48">
        <v>90</v>
      </c>
      <c r="P5" s="48">
        <v>10</v>
      </c>
      <c r="Q5" s="47" t="s">
        <v>84</v>
      </c>
      <c r="R5" s="47" t="s">
        <v>85</v>
      </c>
      <c r="S5" s="39"/>
      <c r="T5" s="39"/>
      <c r="U5" s="39"/>
      <c r="V5" s="39"/>
      <c r="W5" s="39"/>
      <c r="X5" s="39"/>
      <c r="Y5" s="39"/>
      <c r="Z5" s="39"/>
      <c r="AA5" s="39"/>
      <c r="AB5" s="39"/>
    </row>
    <row r="6" spans="1:28">
      <c r="A6" s="39"/>
      <c r="B6" s="42" t="s">
        <v>63</v>
      </c>
      <c r="C6" s="44">
        <v>1</v>
      </c>
      <c r="D6" s="39"/>
      <c r="E6" s="47" t="s">
        <v>81</v>
      </c>
      <c r="F6" s="48">
        <v>0</v>
      </c>
      <c r="G6" s="53">
        <v>45951.416666666664</v>
      </c>
      <c r="H6" s="53">
        <v>45951.458333333336</v>
      </c>
      <c r="I6" s="47" t="s">
        <v>83</v>
      </c>
      <c r="J6" s="47" t="s">
        <v>169</v>
      </c>
      <c r="K6" s="50" t="s">
        <v>187</v>
      </c>
      <c r="L6" s="53">
        <v>45951.416666666664</v>
      </c>
      <c r="M6" s="53">
        <v>45957.458333333336</v>
      </c>
      <c r="N6" s="47">
        <v>1</v>
      </c>
      <c r="O6" s="48">
        <v>10</v>
      </c>
      <c r="P6" s="48">
        <v>90</v>
      </c>
      <c r="Q6" s="47" t="s">
        <v>84</v>
      </c>
      <c r="R6" s="47" t="s">
        <v>85</v>
      </c>
      <c r="S6" s="39"/>
      <c r="T6" s="39"/>
      <c r="U6" s="39"/>
      <c r="V6" s="39"/>
      <c r="W6" s="39"/>
      <c r="X6" s="39"/>
      <c r="Y6" s="39"/>
      <c r="Z6" s="39"/>
      <c r="AA6" s="39"/>
      <c r="AB6" s="39"/>
    </row>
    <row r="7" spans="1:28">
      <c r="A7" s="39"/>
      <c r="B7" s="42" t="s">
        <v>64</v>
      </c>
      <c r="C7" s="44">
        <v>1</v>
      </c>
      <c r="D7" s="39"/>
      <c r="E7" s="47" t="s">
        <v>81</v>
      </c>
      <c r="F7" s="48">
        <v>0</v>
      </c>
      <c r="G7" s="53">
        <v>45951.416666666664</v>
      </c>
      <c r="H7" s="53">
        <v>45951.458333333336</v>
      </c>
      <c r="I7" s="47" t="s">
        <v>83</v>
      </c>
      <c r="J7" s="47" t="s">
        <v>170</v>
      </c>
      <c r="K7" s="50" t="s">
        <v>188</v>
      </c>
      <c r="L7" s="53">
        <v>45951.416666666664</v>
      </c>
      <c r="M7" s="53">
        <v>45957.458333333336</v>
      </c>
      <c r="N7" s="47">
        <v>0</v>
      </c>
      <c r="O7" s="48">
        <v>100</v>
      </c>
      <c r="P7" s="48">
        <v>0</v>
      </c>
      <c r="Q7" s="47" t="s">
        <v>84</v>
      </c>
      <c r="R7" s="47" t="s">
        <v>85</v>
      </c>
      <c r="S7" s="39"/>
      <c r="T7" s="39"/>
      <c r="U7" s="39"/>
      <c r="V7" s="39"/>
      <c r="W7" s="39"/>
      <c r="X7" s="39"/>
      <c r="Y7" s="39"/>
      <c r="Z7" s="39"/>
      <c r="AA7" s="39"/>
      <c r="AB7" s="39"/>
    </row>
    <row r="8" spans="1:28">
      <c r="A8" s="39"/>
      <c r="B8" s="42" t="s">
        <v>65</v>
      </c>
      <c r="C8" s="44">
        <v>2</v>
      </c>
      <c r="D8" s="39"/>
      <c r="E8" s="47" t="s">
        <v>81</v>
      </c>
      <c r="F8" s="48">
        <v>0</v>
      </c>
      <c r="G8" s="53">
        <v>45951.416666666664</v>
      </c>
      <c r="H8" s="53">
        <v>45951.458333333336</v>
      </c>
      <c r="I8" s="47" t="s">
        <v>83</v>
      </c>
      <c r="J8" s="47" t="s">
        <v>171</v>
      </c>
      <c r="K8" s="47" t="s">
        <v>218</v>
      </c>
      <c r="L8" s="53">
        <v>45951.916667303238</v>
      </c>
      <c r="M8" s="53">
        <v>45957.458333333336</v>
      </c>
      <c r="N8" s="47">
        <v>0</v>
      </c>
      <c r="O8" s="48">
        <v>100</v>
      </c>
      <c r="P8" s="48">
        <v>0</v>
      </c>
      <c r="Q8" s="49" t="s">
        <v>226</v>
      </c>
      <c r="R8" s="47" t="s">
        <v>85</v>
      </c>
      <c r="S8" s="39"/>
      <c r="T8" s="39"/>
      <c r="U8" s="39"/>
      <c r="V8" s="39"/>
      <c r="W8" s="39"/>
      <c r="X8" s="39"/>
      <c r="Y8" s="39"/>
      <c r="Z8" s="39"/>
      <c r="AA8" s="39"/>
      <c r="AB8" s="39"/>
    </row>
    <row r="9" spans="1:28">
      <c r="A9" s="39"/>
      <c r="B9" s="42" t="s">
        <v>66</v>
      </c>
      <c r="C9" s="44">
        <v>3</v>
      </c>
      <c r="D9" s="39"/>
      <c r="E9" s="47" t="s">
        <v>81</v>
      </c>
      <c r="F9" s="48">
        <v>0</v>
      </c>
      <c r="G9" s="53">
        <v>45951.416666666664</v>
      </c>
      <c r="H9" s="53">
        <v>45951.458333333336</v>
      </c>
      <c r="I9" s="47" t="s">
        <v>83</v>
      </c>
      <c r="J9" s="47" t="s">
        <v>172</v>
      </c>
      <c r="K9" s="47" t="s">
        <v>190</v>
      </c>
      <c r="L9" s="53">
        <v>45951.958334027775</v>
      </c>
      <c r="M9" s="53">
        <v>45957.458333333336</v>
      </c>
      <c r="N9" s="47">
        <v>0</v>
      </c>
      <c r="O9" s="48">
        <v>100</v>
      </c>
      <c r="P9" s="48">
        <v>0</v>
      </c>
      <c r="Q9" s="47" t="s">
        <v>84</v>
      </c>
      <c r="R9" s="49" t="s">
        <v>226</v>
      </c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 spans="1:28" ht="40.5">
      <c r="A10" s="39"/>
      <c r="B10" s="45" t="s">
        <v>93</v>
      </c>
      <c r="C10" s="44" t="s">
        <v>230</v>
      </c>
      <c r="D10" s="39"/>
      <c r="E10" s="47" t="s">
        <v>81</v>
      </c>
      <c r="F10" s="48">
        <v>0</v>
      </c>
      <c r="G10" s="53">
        <v>45951.416666666664</v>
      </c>
      <c r="H10" s="53">
        <v>45951.458333333336</v>
      </c>
      <c r="I10" s="47" t="s">
        <v>83</v>
      </c>
      <c r="J10" s="47" t="s">
        <v>173</v>
      </c>
      <c r="K10" s="47" t="s">
        <v>191</v>
      </c>
      <c r="L10" s="53">
        <v>45951.416666666664</v>
      </c>
      <c r="M10" s="53">
        <v>45957.458333333336</v>
      </c>
      <c r="N10" s="49">
        <v>9</v>
      </c>
      <c r="O10" s="48">
        <v>100</v>
      </c>
      <c r="P10" s="48">
        <v>0</v>
      </c>
      <c r="Q10" s="47" t="s">
        <v>84</v>
      </c>
      <c r="R10" s="47" t="s">
        <v>85</v>
      </c>
      <c r="S10" s="39"/>
      <c r="T10" s="39"/>
      <c r="U10" s="39"/>
      <c r="V10" s="39"/>
      <c r="W10" s="39"/>
      <c r="X10" s="39"/>
      <c r="Y10" s="39"/>
      <c r="Z10" s="39"/>
      <c r="AA10" s="39"/>
      <c r="AB10" s="39"/>
    </row>
    <row r="11" spans="1:28" ht="57.6" customHeight="1">
      <c r="A11" s="39"/>
      <c r="B11" s="45" t="s">
        <v>164</v>
      </c>
      <c r="C11" s="44" t="s">
        <v>230</v>
      </c>
      <c r="D11" s="39"/>
      <c r="E11" s="47" t="s">
        <v>81</v>
      </c>
      <c r="F11" s="48">
        <v>0</v>
      </c>
      <c r="G11" s="53">
        <v>45951.416666666664</v>
      </c>
      <c r="H11" s="53">
        <v>45951.458333333336</v>
      </c>
      <c r="I11" s="47" t="s">
        <v>83</v>
      </c>
      <c r="J11" s="47" t="s">
        <v>174</v>
      </c>
      <c r="K11" s="47" t="s">
        <v>192</v>
      </c>
      <c r="L11" s="53">
        <v>45951.416666666664</v>
      </c>
      <c r="M11" s="53">
        <v>45957.458333333336</v>
      </c>
      <c r="N11" s="47">
        <v>0</v>
      </c>
      <c r="O11" s="48">
        <v>100</v>
      </c>
      <c r="P11" s="48">
        <v>0</v>
      </c>
      <c r="Q11" s="49" t="s">
        <v>167</v>
      </c>
      <c r="R11" s="47" t="s">
        <v>85</v>
      </c>
      <c r="S11" s="39"/>
      <c r="T11" s="39"/>
      <c r="U11" s="39"/>
      <c r="V11" s="39"/>
      <c r="W11" s="39"/>
      <c r="X11" s="39"/>
      <c r="Y11" s="39"/>
      <c r="Z11" s="39"/>
      <c r="AA11" s="39"/>
      <c r="AB11" s="39"/>
    </row>
    <row r="12" spans="1:28" ht="40.5">
      <c r="A12" s="39"/>
      <c r="B12" s="45" t="s">
        <v>163</v>
      </c>
      <c r="C12" s="44" t="s">
        <v>230</v>
      </c>
      <c r="D12" s="39"/>
      <c r="E12" s="47" t="s">
        <v>81</v>
      </c>
      <c r="F12" s="48">
        <v>0</v>
      </c>
      <c r="G12" s="53">
        <v>45951.416666666664</v>
      </c>
      <c r="H12" s="53">
        <v>45951.458333333336</v>
      </c>
      <c r="I12" s="47" t="s">
        <v>83</v>
      </c>
      <c r="J12" s="47" t="s">
        <v>175</v>
      </c>
      <c r="K12" s="47" t="s">
        <v>193</v>
      </c>
      <c r="L12" s="53">
        <v>45951.416666666664</v>
      </c>
      <c r="M12" s="53">
        <v>45957.458333333336</v>
      </c>
      <c r="N12" s="47">
        <v>0</v>
      </c>
      <c r="O12" s="48">
        <v>100</v>
      </c>
      <c r="P12" s="48">
        <v>0</v>
      </c>
      <c r="Q12" s="47" t="s">
        <v>84</v>
      </c>
      <c r="R12" s="49" t="s">
        <v>167</v>
      </c>
      <c r="S12" s="39"/>
      <c r="T12" s="39"/>
      <c r="U12" s="39"/>
      <c r="V12" s="39"/>
      <c r="W12" s="39"/>
      <c r="X12" s="39"/>
      <c r="Y12" s="39"/>
      <c r="Z12" s="39"/>
      <c r="AA12" s="39"/>
      <c r="AB12" s="39"/>
    </row>
    <row r="13" spans="1:28" ht="40.5">
      <c r="A13" s="39"/>
      <c r="B13" s="45" t="s">
        <v>236</v>
      </c>
      <c r="C13" s="44" t="s">
        <v>230</v>
      </c>
      <c r="D13" s="39"/>
      <c r="E13" s="49">
        <v>1</v>
      </c>
      <c r="F13" s="48">
        <v>0</v>
      </c>
      <c r="G13" s="53">
        <v>45951.416666666664</v>
      </c>
      <c r="H13" s="53">
        <v>45951.458333333336</v>
      </c>
      <c r="I13" s="47" t="s">
        <v>83</v>
      </c>
      <c r="J13" s="47" t="s">
        <v>176</v>
      </c>
      <c r="K13" s="47" t="s">
        <v>194</v>
      </c>
      <c r="L13" s="53">
        <v>45951.416666666664</v>
      </c>
      <c r="M13" s="53">
        <v>45957.458333333336</v>
      </c>
      <c r="N13" s="47">
        <v>0</v>
      </c>
      <c r="O13" s="48">
        <v>100</v>
      </c>
      <c r="P13" s="48">
        <v>0</v>
      </c>
      <c r="Q13" s="47" t="s">
        <v>84</v>
      </c>
      <c r="R13" s="47" t="s">
        <v>85</v>
      </c>
      <c r="S13" s="39"/>
      <c r="T13" s="39"/>
      <c r="U13" s="39"/>
      <c r="V13" s="39"/>
      <c r="W13" s="39"/>
      <c r="X13" s="39"/>
      <c r="Y13" s="39"/>
      <c r="Z13" s="39"/>
      <c r="AA13" s="39"/>
      <c r="AB13" s="39"/>
    </row>
    <row r="14" spans="1:28" ht="27">
      <c r="A14" s="39"/>
      <c r="B14" s="42" t="s">
        <v>210</v>
      </c>
      <c r="C14" s="44" t="s">
        <v>230</v>
      </c>
      <c r="D14" s="39"/>
      <c r="E14" s="47" t="s">
        <v>81</v>
      </c>
      <c r="F14" s="48">
        <v>0</v>
      </c>
      <c r="G14" s="53">
        <v>45951.416666666664</v>
      </c>
      <c r="H14" s="53">
        <v>45951.458333333336</v>
      </c>
      <c r="I14" s="47" t="s">
        <v>83</v>
      </c>
      <c r="J14" s="47" t="s">
        <v>177</v>
      </c>
      <c r="K14" s="47" t="s">
        <v>195</v>
      </c>
      <c r="L14" s="54">
        <v>45949.999988425923</v>
      </c>
      <c r="M14" s="53">
        <v>45957.458333333336</v>
      </c>
      <c r="N14" s="47">
        <v>0</v>
      </c>
      <c r="O14" s="48">
        <v>100</v>
      </c>
      <c r="P14" s="48">
        <v>0</v>
      </c>
      <c r="Q14" s="47" t="s">
        <v>84</v>
      </c>
      <c r="R14" s="47" t="s">
        <v>85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</row>
    <row r="15" spans="1:28" ht="27">
      <c r="A15" s="39"/>
      <c r="B15" s="42" t="s">
        <v>206</v>
      </c>
      <c r="C15" s="44" t="s">
        <v>230</v>
      </c>
      <c r="D15" s="39"/>
      <c r="E15" s="47" t="s">
        <v>81</v>
      </c>
      <c r="F15" s="48">
        <v>0</v>
      </c>
      <c r="G15" s="53">
        <v>45951.416666666664</v>
      </c>
      <c r="H15" s="53">
        <v>45951.458333333336</v>
      </c>
      <c r="I15" s="47" t="s">
        <v>83</v>
      </c>
      <c r="J15" s="47" t="s">
        <v>178</v>
      </c>
      <c r="K15" s="47" t="s">
        <v>196</v>
      </c>
      <c r="L15" s="54">
        <v>45950</v>
      </c>
      <c r="M15" s="53">
        <v>45957.458333333336</v>
      </c>
      <c r="N15" s="47">
        <v>0</v>
      </c>
      <c r="O15" s="48">
        <v>100</v>
      </c>
      <c r="P15" s="48">
        <v>0</v>
      </c>
      <c r="Q15" s="47" t="s">
        <v>84</v>
      </c>
      <c r="R15" s="47" t="s">
        <v>85</v>
      </c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 ht="27">
      <c r="A16" s="39"/>
      <c r="B16" s="42" t="s">
        <v>209</v>
      </c>
      <c r="C16" s="44" t="s">
        <v>230</v>
      </c>
      <c r="D16" s="39"/>
      <c r="E16" s="47" t="s">
        <v>81</v>
      </c>
      <c r="F16" s="48">
        <v>0</v>
      </c>
      <c r="G16" s="53">
        <v>45951.416666666664</v>
      </c>
      <c r="H16" s="53">
        <v>45951.458333333336</v>
      </c>
      <c r="I16" s="47" t="s">
        <v>83</v>
      </c>
      <c r="J16" s="47" t="s">
        <v>179</v>
      </c>
      <c r="K16" s="47" t="s">
        <v>197</v>
      </c>
      <c r="L16" s="54">
        <v>45950.000011574077</v>
      </c>
      <c r="M16" s="53">
        <v>45957.458333333336</v>
      </c>
      <c r="N16" s="47">
        <v>0</v>
      </c>
      <c r="O16" s="48">
        <v>100</v>
      </c>
      <c r="P16" s="48">
        <v>0</v>
      </c>
      <c r="Q16" s="47" t="s">
        <v>84</v>
      </c>
      <c r="R16" s="47" t="s">
        <v>85</v>
      </c>
      <c r="S16" s="39"/>
      <c r="T16" s="39"/>
      <c r="U16" s="39"/>
      <c r="V16" s="39"/>
      <c r="W16" s="39"/>
      <c r="X16" s="39"/>
      <c r="Y16" s="39"/>
      <c r="Z16" s="39"/>
      <c r="AA16" s="39"/>
      <c r="AB16" s="39"/>
    </row>
    <row r="17" spans="1:48" ht="27">
      <c r="A17" s="39"/>
      <c r="B17" s="42" t="s">
        <v>211</v>
      </c>
      <c r="C17" s="44" t="s">
        <v>230</v>
      </c>
      <c r="D17" s="39"/>
      <c r="E17" s="47" t="s">
        <v>81</v>
      </c>
      <c r="F17" s="48">
        <v>0</v>
      </c>
      <c r="G17" s="53">
        <v>45951.416666666664</v>
      </c>
      <c r="H17" s="53">
        <v>45951.458333333336</v>
      </c>
      <c r="I17" s="47" t="s">
        <v>83</v>
      </c>
      <c r="J17" s="47" t="s">
        <v>180</v>
      </c>
      <c r="K17" s="47" t="s">
        <v>198</v>
      </c>
      <c r="L17" s="53">
        <v>45951.416666666664</v>
      </c>
      <c r="M17" s="54">
        <v>45957.999988425923</v>
      </c>
      <c r="N17" s="47">
        <v>0</v>
      </c>
      <c r="O17" s="48">
        <v>100</v>
      </c>
      <c r="P17" s="48">
        <v>0</v>
      </c>
      <c r="Q17" s="47" t="s">
        <v>84</v>
      </c>
      <c r="R17" s="47" t="s">
        <v>85</v>
      </c>
      <c r="S17" s="39"/>
      <c r="T17" s="39"/>
      <c r="U17" s="39"/>
      <c r="V17" s="39"/>
      <c r="W17" s="39"/>
      <c r="X17" s="39"/>
      <c r="Y17" s="39"/>
      <c r="Z17" s="39"/>
      <c r="AA17" s="39"/>
      <c r="AB17" s="39"/>
    </row>
    <row r="18" spans="1:48" ht="27">
      <c r="A18" s="39"/>
      <c r="B18" s="42" t="s">
        <v>212</v>
      </c>
      <c r="C18" s="44" t="s">
        <v>230</v>
      </c>
      <c r="D18" s="39"/>
      <c r="E18" s="47" t="s">
        <v>81</v>
      </c>
      <c r="F18" s="48">
        <v>0</v>
      </c>
      <c r="G18" s="53">
        <v>45951.416666666664</v>
      </c>
      <c r="H18" s="53">
        <v>45951.458333333336</v>
      </c>
      <c r="I18" s="47" t="s">
        <v>83</v>
      </c>
      <c r="J18" s="47" t="s">
        <v>181</v>
      </c>
      <c r="K18" s="47" t="s">
        <v>199</v>
      </c>
      <c r="L18" s="53">
        <v>45951.416666666664</v>
      </c>
      <c r="M18" s="54">
        <v>45958</v>
      </c>
      <c r="N18" s="47">
        <v>0</v>
      </c>
      <c r="O18" s="48">
        <v>100</v>
      </c>
      <c r="P18" s="48">
        <v>0</v>
      </c>
      <c r="Q18" s="47" t="s">
        <v>84</v>
      </c>
      <c r="R18" s="47" t="s">
        <v>85</v>
      </c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 spans="1:48" ht="27">
      <c r="A19" s="39"/>
      <c r="B19" s="42" t="s">
        <v>213</v>
      </c>
      <c r="C19" s="44" t="s">
        <v>230</v>
      </c>
      <c r="D19" s="39"/>
      <c r="E19" s="47" t="s">
        <v>81</v>
      </c>
      <c r="F19" s="48">
        <v>0</v>
      </c>
      <c r="G19" s="53">
        <v>45951.416666666664</v>
      </c>
      <c r="H19" s="53">
        <v>45951.458333333336</v>
      </c>
      <c r="I19" s="47" t="s">
        <v>83</v>
      </c>
      <c r="J19" s="47" t="s">
        <v>182</v>
      </c>
      <c r="K19" s="47" t="s">
        <v>200</v>
      </c>
      <c r="L19" s="53">
        <v>45951.416666666664</v>
      </c>
      <c r="M19" s="54">
        <v>45958.000011574077</v>
      </c>
      <c r="N19" s="47">
        <v>0</v>
      </c>
      <c r="O19" s="48">
        <v>100</v>
      </c>
      <c r="P19" s="48">
        <v>0</v>
      </c>
      <c r="Q19" s="47" t="s">
        <v>84</v>
      </c>
      <c r="R19" s="47" t="s">
        <v>85</v>
      </c>
      <c r="S19" s="39"/>
      <c r="T19" s="39"/>
      <c r="U19" s="39"/>
      <c r="V19" s="39"/>
      <c r="W19" s="39"/>
      <c r="X19" s="39"/>
      <c r="Y19" s="39"/>
      <c r="Z19" s="39"/>
      <c r="AA19" s="39"/>
      <c r="AB19" s="39"/>
    </row>
    <row r="20" spans="1:48" ht="28.15" customHeight="1">
      <c r="A20" s="39"/>
      <c r="B20" s="42" t="s">
        <v>238</v>
      </c>
      <c r="C20" s="44" t="s">
        <v>231</v>
      </c>
      <c r="D20" s="39"/>
      <c r="E20" s="47" t="s">
        <v>81</v>
      </c>
      <c r="F20" s="48">
        <v>0</v>
      </c>
      <c r="G20" s="53">
        <v>45951.416666666664</v>
      </c>
      <c r="H20" s="53">
        <v>45951.458333333336</v>
      </c>
      <c r="I20" s="47" t="s">
        <v>83</v>
      </c>
      <c r="J20" s="47" t="s">
        <v>183</v>
      </c>
      <c r="K20" s="47" t="s">
        <v>201</v>
      </c>
      <c r="L20" s="53">
        <v>45952.083334201387</v>
      </c>
      <c r="M20" s="53">
        <v>45957.458333333336</v>
      </c>
      <c r="N20" s="49">
        <v>2</v>
      </c>
      <c r="O20" s="48">
        <v>90</v>
      </c>
      <c r="P20" s="48">
        <v>10</v>
      </c>
      <c r="Q20" s="47" t="s">
        <v>84</v>
      </c>
      <c r="R20" s="47" t="s">
        <v>85</v>
      </c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 spans="1:48" ht="28.15" customHeight="1">
      <c r="A21" s="39"/>
      <c r="B21" s="42" t="s">
        <v>239</v>
      </c>
      <c r="C21" s="44" t="s">
        <v>232</v>
      </c>
      <c r="D21" s="39"/>
      <c r="E21" s="47" t="s">
        <v>81</v>
      </c>
      <c r="F21" s="48">
        <v>0</v>
      </c>
      <c r="G21" s="53">
        <v>45951.416666666664</v>
      </c>
      <c r="H21" s="53">
        <v>45951.458333333336</v>
      </c>
      <c r="I21" s="47" t="s">
        <v>83</v>
      </c>
      <c r="J21" s="47" t="s">
        <v>184</v>
      </c>
      <c r="K21" s="47" t="s">
        <v>202</v>
      </c>
      <c r="L21" s="53">
        <v>45952.041667476849</v>
      </c>
      <c r="M21" s="53">
        <v>45957.458333333336</v>
      </c>
      <c r="N21" s="49">
        <v>1</v>
      </c>
      <c r="O21" s="48">
        <v>10</v>
      </c>
      <c r="P21" s="48">
        <v>90</v>
      </c>
      <c r="Q21" s="47" t="s">
        <v>84</v>
      </c>
      <c r="R21" s="47" t="s">
        <v>85</v>
      </c>
      <c r="S21" s="39"/>
      <c r="T21" s="39"/>
      <c r="U21" s="39"/>
      <c r="V21" s="39"/>
      <c r="W21" s="39"/>
      <c r="X21" s="39"/>
      <c r="Y21" s="39"/>
      <c r="Z21" s="39"/>
      <c r="AA21" s="39"/>
      <c r="AB21" s="39"/>
    </row>
    <row r="22" spans="1:48" ht="27">
      <c r="A22" s="39"/>
      <c r="B22" s="42" t="s">
        <v>240</v>
      </c>
      <c r="C22" s="44" t="s">
        <v>233</v>
      </c>
      <c r="E22" s="47" t="s">
        <v>81</v>
      </c>
      <c r="F22" s="48">
        <v>0</v>
      </c>
      <c r="G22" s="53">
        <v>45951.416666666664</v>
      </c>
      <c r="H22" s="53">
        <v>45951.458333333336</v>
      </c>
      <c r="I22" s="47" t="s">
        <v>83</v>
      </c>
      <c r="J22" s="47" t="s">
        <v>208</v>
      </c>
      <c r="K22" s="47" t="s">
        <v>207</v>
      </c>
      <c r="L22" s="53">
        <v>45952.000000752312</v>
      </c>
      <c r="M22" s="53">
        <v>45957.458333333336</v>
      </c>
      <c r="N22" s="49">
        <v>0</v>
      </c>
      <c r="O22" s="48">
        <v>100</v>
      </c>
      <c r="P22" s="48">
        <v>0</v>
      </c>
      <c r="Q22" s="47" t="s">
        <v>84</v>
      </c>
      <c r="R22" s="47" t="s">
        <v>85</v>
      </c>
      <c r="S22" s="39"/>
      <c r="T22" s="39"/>
      <c r="U22" s="39"/>
      <c r="V22" s="39"/>
      <c r="W22" s="39"/>
      <c r="X22" s="39"/>
      <c r="Y22" s="39"/>
      <c r="Z22" s="39"/>
      <c r="AA22" s="39"/>
      <c r="AB22" s="39"/>
    </row>
    <row r="23" spans="1:48" ht="28.15" customHeight="1">
      <c r="A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</row>
    <row r="24" spans="1:48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spans="1:48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</row>
    <row r="26" spans="1:48">
      <c r="A26" s="39"/>
      <c r="B26" s="39"/>
      <c r="C26" s="39"/>
      <c r="D26" s="39" t="s">
        <v>89</v>
      </c>
      <c r="E26" s="39"/>
      <c r="F26" s="39"/>
      <c r="G26" s="39"/>
      <c r="H26" s="39"/>
      <c r="I26" s="39"/>
      <c r="J26" s="43" t="s">
        <v>92</v>
      </c>
      <c r="K26" s="39"/>
      <c r="L26" s="39"/>
      <c r="M26" s="39"/>
      <c r="N26" s="43" t="s">
        <v>92</v>
      </c>
      <c r="O26" s="43" t="s">
        <v>92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48">
      <c r="A27" s="39"/>
      <c r="B27" s="39"/>
      <c r="C27" s="39"/>
      <c r="D27" s="39" t="s">
        <v>88</v>
      </c>
      <c r="E27" s="39"/>
      <c r="F27" s="39"/>
      <c r="G27" s="39"/>
      <c r="H27" s="39"/>
      <c r="I27" s="39"/>
      <c r="J27" s="43"/>
      <c r="K27" s="39"/>
      <c r="L27" s="39"/>
      <c r="M27" s="39"/>
      <c r="N27" s="43"/>
      <c r="O27" s="43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48" ht="40.5">
      <c r="A28" s="39"/>
      <c r="B28" s="40" t="s">
        <v>42</v>
      </c>
      <c r="C28" s="41" t="s">
        <v>43</v>
      </c>
      <c r="D28" s="39"/>
      <c r="E28" s="46" t="s">
        <v>67</v>
      </c>
      <c r="F28" s="46" t="s">
        <v>68</v>
      </c>
      <c r="G28" s="46" t="s">
        <v>69</v>
      </c>
      <c r="H28" s="46" t="s">
        <v>70</v>
      </c>
      <c r="I28" s="46" t="s">
        <v>71</v>
      </c>
      <c r="J28" s="46" t="s">
        <v>96</v>
      </c>
      <c r="K28" s="46" t="s">
        <v>97</v>
      </c>
      <c r="L28" s="46" t="s">
        <v>98</v>
      </c>
      <c r="M28" s="46" t="s">
        <v>99</v>
      </c>
      <c r="N28" s="46" t="s">
        <v>100</v>
      </c>
      <c r="O28" s="46" t="s">
        <v>101</v>
      </c>
      <c r="P28" s="46" t="s">
        <v>102</v>
      </c>
      <c r="Q28" s="46" t="s">
        <v>103</v>
      </c>
      <c r="R28" s="46" t="s">
        <v>104</v>
      </c>
      <c r="S28" s="46" t="s">
        <v>105</v>
      </c>
      <c r="T28" s="46" t="s">
        <v>106</v>
      </c>
      <c r="U28" s="46" t="s">
        <v>107</v>
      </c>
      <c r="V28" s="46" t="s">
        <v>108</v>
      </c>
      <c r="W28" s="46" t="s">
        <v>109</v>
      </c>
      <c r="X28" s="46" t="s">
        <v>110</v>
      </c>
      <c r="Y28" s="46" t="s">
        <v>111</v>
      </c>
      <c r="Z28" s="46" t="s">
        <v>112</v>
      </c>
      <c r="AA28" s="46" t="s">
        <v>113</v>
      </c>
      <c r="AB28" s="46" t="s">
        <v>114</v>
      </c>
      <c r="AC28" s="46" t="s">
        <v>115</v>
      </c>
      <c r="AD28" s="46" t="s">
        <v>116</v>
      </c>
      <c r="AE28" s="46" t="s">
        <v>117</v>
      </c>
      <c r="AF28" s="46" t="s">
        <v>118</v>
      </c>
      <c r="AG28" s="46" t="s">
        <v>119</v>
      </c>
      <c r="AH28" s="46" t="s">
        <v>120</v>
      </c>
      <c r="AI28" s="46" t="s">
        <v>121</v>
      </c>
      <c r="AJ28" s="46" t="s">
        <v>122</v>
      </c>
      <c r="AK28" s="46" t="s">
        <v>123</v>
      </c>
      <c r="AL28" s="46" t="s">
        <v>124</v>
      </c>
      <c r="AM28" s="46" t="s">
        <v>125</v>
      </c>
      <c r="AN28" s="46" t="s">
        <v>126</v>
      </c>
      <c r="AO28" s="46" t="s">
        <v>127</v>
      </c>
      <c r="AP28" s="46" t="s">
        <v>128</v>
      </c>
      <c r="AQ28" s="46" t="s">
        <v>129</v>
      </c>
      <c r="AR28" s="46" t="s">
        <v>130</v>
      </c>
      <c r="AS28" s="46" t="s">
        <v>131</v>
      </c>
      <c r="AT28" s="46" t="s">
        <v>132</v>
      </c>
      <c r="AU28" s="46" t="s">
        <v>133</v>
      </c>
      <c r="AV28" s="46" t="s">
        <v>134</v>
      </c>
    </row>
    <row r="29" spans="1:48" ht="40.5">
      <c r="A29" s="39"/>
      <c r="B29" s="42" t="s">
        <v>203</v>
      </c>
      <c r="C29" s="44" t="s">
        <v>234</v>
      </c>
      <c r="D29" s="39"/>
      <c r="E29" s="47" t="s">
        <v>81</v>
      </c>
      <c r="F29" s="48">
        <v>0</v>
      </c>
      <c r="G29" s="53">
        <v>46128.594093842592</v>
      </c>
      <c r="H29" s="53">
        <v>46128.594093842592</v>
      </c>
      <c r="I29" s="47" t="s">
        <v>135</v>
      </c>
      <c r="J29" s="47">
        <v>100001</v>
      </c>
      <c r="K29" s="47" t="s">
        <v>136</v>
      </c>
      <c r="L29" s="48">
        <v>1</v>
      </c>
      <c r="M29" s="52" t="s">
        <v>137</v>
      </c>
      <c r="N29" s="49" t="s">
        <v>81</v>
      </c>
      <c r="O29" s="51">
        <v>20251020</v>
      </c>
      <c r="P29" s="48">
        <v>20251231</v>
      </c>
      <c r="Q29" s="49" t="s">
        <v>138</v>
      </c>
      <c r="R29" s="47" t="s">
        <v>139</v>
      </c>
      <c r="S29" s="52" t="s">
        <v>137</v>
      </c>
      <c r="T29" s="52" t="s">
        <v>137</v>
      </c>
      <c r="U29" s="52" t="s">
        <v>137</v>
      </c>
      <c r="V29" s="52" t="s">
        <v>137</v>
      </c>
      <c r="W29" s="52" t="s">
        <v>137</v>
      </c>
      <c r="X29" s="52" t="s">
        <v>137</v>
      </c>
      <c r="Y29" s="52" t="s">
        <v>137</v>
      </c>
      <c r="Z29" s="52" t="s">
        <v>137</v>
      </c>
      <c r="AA29" s="52" t="s">
        <v>137</v>
      </c>
      <c r="AB29" s="52" t="s">
        <v>137</v>
      </c>
      <c r="AC29" s="52" t="s">
        <v>137</v>
      </c>
      <c r="AD29" s="52" t="s">
        <v>137</v>
      </c>
      <c r="AE29" s="52" t="s">
        <v>137</v>
      </c>
      <c r="AF29" s="52" t="s">
        <v>137</v>
      </c>
      <c r="AG29" s="52" t="s">
        <v>137</v>
      </c>
      <c r="AH29" s="52" t="s">
        <v>137</v>
      </c>
      <c r="AI29" s="52" t="s">
        <v>137</v>
      </c>
      <c r="AJ29" s="52" t="s">
        <v>137</v>
      </c>
      <c r="AK29" s="52" t="s">
        <v>137</v>
      </c>
      <c r="AL29" s="52" t="s">
        <v>137</v>
      </c>
      <c r="AM29" s="52" t="s">
        <v>137</v>
      </c>
      <c r="AN29" s="52" t="s">
        <v>137</v>
      </c>
      <c r="AO29" s="52" t="s">
        <v>137</v>
      </c>
      <c r="AP29" s="52" t="s">
        <v>137</v>
      </c>
      <c r="AQ29" s="52" t="s">
        <v>137</v>
      </c>
      <c r="AR29" s="52" t="s">
        <v>137</v>
      </c>
      <c r="AS29" s="52" t="s">
        <v>137</v>
      </c>
      <c r="AT29" s="52" t="s">
        <v>137</v>
      </c>
      <c r="AU29" s="52" t="s">
        <v>137</v>
      </c>
      <c r="AV29" s="52" t="s">
        <v>137</v>
      </c>
    </row>
    <row r="30" spans="1:48" ht="40.5">
      <c r="A30" s="39"/>
      <c r="B30" s="42" t="s">
        <v>204</v>
      </c>
      <c r="C30" s="44" t="s">
        <v>234</v>
      </c>
      <c r="D30" s="39"/>
      <c r="E30" s="47" t="s">
        <v>81</v>
      </c>
      <c r="F30" s="48">
        <v>0</v>
      </c>
      <c r="G30" s="53">
        <v>46128.594093842592</v>
      </c>
      <c r="H30" s="53">
        <v>46128.594093842592</v>
      </c>
      <c r="I30" s="47" t="s">
        <v>135</v>
      </c>
      <c r="J30" s="47">
        <v>100001</v>
      </c>
      <c r="K30" s="47" t="s">
        <v>136</v>
      </c>
      <c r="L30" s="48">
        <v>1</v>
      </c>
      <c r="M30" s="52" t="s">
        <v>137</v>
      </c>
      <c r="N30" s="49" t="s">
        <v>86</v>
      </c>
      <c r="O30" s="48">
        <v>20251001</v>
      </c>
      <c r="P30" s="51">
        <v>20251020</v>
      </c>
      <c r="Q30" s="49" t="s">
        <v>140</v>
      </c>
      <c r="R30" s="47" t="s">
        <v>141</v>
      </c>
      <c r="S30" s="52" t="s">
        <v>137</v>
      </c>
      <c r="T30" s="52" t="s">
        <v>137</v>
      </c>
      <c r="U30" s="52" t="s">
        <v>137</v>
      </c>
      <c r="V30" s="52" t="s">
        <v>137</v>
      </c>
      <c r="W30" s="52" t="s">
        <v>137</v>
      </c>
      <c r="X30" s="52" t="s">
        <v>137</v>
      </c>
      <c r="Y30" s="52" t="s">
        <v>137</v>
      </c>
      <c r="Z30" s="52" t="s">
        <v>137</v>
      </c>
      <c r="AA30" s="52" t="s">
        <v>137</v>
      </c>
      <c r="AB30" s="52" t="s">
        <v>137</v>
      </c>
      <c r="AC30" s="52" t="s">
        <v>137</v>
      </c>
      <c r="AD30" s="52" t="s">
        <v>137</v>
      </c>
      <c r="AE30" s="52" t="s">
        <v>137</v>
      </c>
      <c r="AF30" s="52" t="s">
        <v>137</v>
      </c>
      <c r="AG30" s="52" t="s">
        <v>137</v>
      </c>
      <c r="AH30" s="52" t="s">
        <v>137</v>
      </c>
      <c r="AI30" s="52" t="s">
        <v>137</v>
      </c>
      <c r="AJ30" s="52" t="s">
        <v>137</v>
      </c>
      <c r="AK30" s="52" t="s">
        <v>137</v>
      </c>
      <c r="AL30" s="52" t="s">
        <v>137</v>
      </c>
      <c r="AM30" s="52" t="s">
        <v>137</v>
      </c>
      <c r="AN30" s="52" t="s">
        <v>137</v>
      </c>
      <c r="AO30" s="52" t="s">
        <v>137</v>
      </c>
      <c r="AP30" s="52" t="s">
        <v>137</v>
      </c>
      <c r="AQ30" s="52" t="s">
        <v>137</v>
      </c>
      <c r="AR30" s="52" t="s">
        <v>137</v>
      </c>
      <c r="AS30" s="52" t="s">
        <v>137</v>
      </c>
      <c r="AT30" s="52" t="s">
        <v>137</v>
      </c>
      <c r="AU30" s="52" t="s">
        <v>137</v>
      </c>
      <c r="AV30" s="52" t="s">
        <v>137</v>
      </c>
    </row>
    <row r="31" spans="1:48" ht="40.5">
      <c r="A31" s="39"/>
      <c r="B31" s="42" t="s">
        <v>205</v>
      </c>
      <c r="C31" s="44" t="s">
        <v>234</v>
      </c>
      <c r="D31" s="39"/>
      <c r="E31" s="47" t="s">
        <v>81</v>
      </c>
      <c r="F31" s="48">
        <v>0</v>
      </c>
      <c r="G31" s="53">
        <v>46128.594093842592</v>
      </c>
      <c r="H31" s="53">
        <v>46128.594093842592</v>
      </c>
      <c r="I31" s="47" t="s">
        <v>135</v>
      </c>
      <c r="J31" s="47">
        <v>100001</v>
      </c>
      <c r="K31" s="47" t="s">
        <v>136</v>
      </c>
      <c r="L31" s="48">
        <v>1</v>
      </c>
      <c r="M31" s="52" t="s">
        <v>137</v>
      </c>
      <c r="N31" s="49" t="s">
        <v>82</v>
      </c>
      <c r="O31" s="51">
        <v>20251001</v>
      </c>
      <c r="P31" s="51">
        <v>20251031</v>
      </c>
      <c r="Q31" s="49" t="s">
        <v>142</v>
      </c>
      <c r="R31" s="47" t="s">
        <v>143</v>
      </c>
      <c r="S31" s="52" t="s">
        <v>137</v>
      </c>
      <c r="T31" s="52" t="s">
        <v>137</v>
      </c>
      <c r="U31" s="52" t="s">
        <v>137</v>
      </c>
      <c r="V31" s="52" t="s">
        <v>137</v>
      </c>
      <c r="W31" s="52" t="s">
        <v>137</v>
      </c>
      <c r="X31" s="52" t="s">
        <v>137</v>
      </c>
      <c r="Y31" s="52" t="s">
        <v>137</v>
      </c>
      <c r="Z31" s="52" t="s">
        <v>137</v>
      </c>
      <c r="AA31" s="52" t="s">
        <v>137</v>
      </c>
      <c r="AB31" s="52" t="s">
        <v>137</v>
      </c>
      <c r="AC31" s="52" t="s">
        <v>137</v>
      </c>
      <c r="AD31" s="52" t="s">
        <v>137</v>
      </c>
      <c r="AE31" s="52" t="s">
        <v>137</v>
      </c>
      <c r="AF31" s="52" t="s">
        <v>137</v>
      </c>
      <c r="AG31" s="52" t="s">
        <v>137</v>
      </c>
      <c r="AH31" s="52" t="s">
        <v>137</v>
      </c>
      <c r="AI31" s="52" t="s">
        <v>137</v>
      </c>
      <c r="AJ31" s="52" t="s">
        <v>137</v>
      </c>
      <c r="AK31" s="52" t="s">
        <v>137</v>
      </c>
      <c r="AL31" s="52" t="s">
        <v>137</v>
      </c>
      <c r="AM31" s="52" t="s">
        <v>137</v>
      </c>
      <c r="AN31" s="52" t="s">
        <v>137</v>
      </c>
      <c r="AO31" s="52" t="s">
        <v>137</v>
      </c>
      <c r="AP31" s="52" t="s">
        <v>137</v>
      </c>
      <c r="AQ31" s="52" t="s">
        <v>137</v>
      </c>
      <c r="AR31" s="52" t="s">
        <v>137</v>
      </c>
      <c r="AS31" s="52" t="s">
        <v>137</v>
      </c>
      <c r="AT31" s="52" t="s">
        <v>137</v>
      </c>
      <c r="AU31" s="52" t="s">
        <v>137</v>
      </c>
      <c r="AV31" s="52" t="s">
        <v>137</v>
      </c>
    </row>
    <row r="32" spans="1:48" ht="27">
      <c r="A32" s="39"/>
      <c r="B32" s="42" t="s">
        <v>94</v>
      </c>
      <c r="C32" s="44" t="s">
        <v>234</v>
      </c>
      <c r="D32" s="39"/>
      <c r="E32" s="47" t="s">
        <v>81</v>
      </c>
      <c r="F32" s="48">
        <v>0</v>
      </c>
      <c r="G32" s="53">
        <v>46128.594093842592</v>
      </c>
      <c r="H32" s="53">
        <v>46128.594093842592</v>
      </c>
      <c r="I32" s="47" t="s">
        <v>135</v>
      </c>
      <c r="J32" s="47">
        <v>100001</v>
      </c>
      <c r="K32" s="47" t="s">
        <v>136</v>
      </c>
      <c r="L32" s="48">
        <v>1</v>
      </c>
      <c r="M32" s="52" t="s">
        <v>137</v>
      </c>
      <c r="N32" s="47" t="s">
        <v>81</v>
      </c>
      <c r="O32" s="48">
        <v>20251001</v>
      </c>
      <c r="P32" s="51">
        <v>20251019</v>
      </c>
      <c r="Q32" s="47" t="s">
        <v>138</v>
      </c>
      <c r="R32" s="47" t="s">
        <v>139</v>
      </c>
      <c r="S32" s="52" t="s">
        <v>137</v>
      </c>
      <c r="T32" s="52" t="s">
        <v>137</v>
      </c>
      <c r="U32" s="52" t="s">
        <v>137</v>
      </c>
      <c r="V32" s="52" t="s">
        <v>137</v>
      </c>
      <c r="W32" s="52" t="s">
        <v>137</v>
      </c>
      <c r="X32" s="52" t="s">
        <v>137</v>
      </c>
      <c r="Y32" s="52" t="s">
        <v>137</v>
      </c>
      <c r="Z32" s="52" t="s">
        <v>137</v>
      </c>
      <c r="AA32" s="52" t="s">
        <v>137</v>
      </c>
      <c r="AB32" s="52" t="s">
        <v>137</v>
      </c>
      <c r="AC32" s="52" t="s">
        <v>137</v>
      </c>
      <c r="AD32" s="52" t="s">
        <v>137</v>
      </c>
      <c r="AE32" s="52" t="s">
        <v>137</v>
      </c>
      <c r="AF32" s="52" t="s">
        <v>137</v>
      </c>
      <c r="AG32" s="52" t="s">
        <v>137</v>
      </c>
      <c r="AH32" s="52" t="s">
        <v>137</v>
      </c>
      <c r="AI32" s="52" t="s">
        <v>137</v>
      </c>
      <c r="AJ32" s="52" t="s">
        <v>137</v>
      </c>
      <c r="AK32" s="52" t="s">
        <v>137</v>
      </c>
      <c r="AL32" s="52" t="s">
        <v>137</v>
      </c>
      <c r="AM32" s="52" t="s">
        <v>137</v>
      </c>
      <c r="AN32" s="52" t="s">
        <v>137</v>
      </c>
      <c r="AO32" s="52" t="s">
        <v>137</v>
      </c>
      <c r="AP32" s="52" t="s">
        <v>137</v>
      </c>
      <c r="AQ32" s="52" t="s">
        <v>137</v>
      </c>
      <c r="AR32" s="52" t="s">
        <v>137</v>
      </c>
      <c r="AS32" s="52" t="s">
        <v>137</v>
      </c>
      <c r="AT32" s="52" t="s">
        <v>137</v>
      </c>
      <c r="AU32" s="52" t="s">
        <v>137</v>
      </c>
      <c r="AV32" s="52" t="s">
        <v>137</v>
      </c>
    </row>
    <row r="33" spans="1:48" ht="27">
      <c r="A33" s="39"/>
      <c r="B33" s="42" t="s">
        <v>95</v>
      </c>
      <c r="C33" s="44" t="s">
        <v>234</v>
      </c>
      <c r="D33" s="39"/>
      <c r="E33" s="47" t="s">
        <v>81</v>
      </c>
      <c r="F33" s="48">
        <v>0</v>
      </c>
      <c r="G33" s="53">
        <v>46128.594093842592</v>
      </c>
      <c r="H33" s="53">
        <v>46128.594093842592</v>
      </c>
      <c r="I33" s="47" t="s">
        <v>135</v>
      </c>
      <c r="J33" s="47">
        <v>100001</v>
      </c>
      <c r="K33" s="47" t="s">
        <v>136</v>
      </c>
      <c r="L33" s="48">
        <v>1</v>
      </c>
      <c r="M33" s="52" t="s">
        <v>137</v>
      </c>
      <c r="N33" s="47" t="s">
        <v>81</v>
      </c>
      <c r="O33" s="51">
        <v>20251021</v>
      </c>
      <c r="P33" s="48">
        <v>99991231</v>
      </c>
      <c r="Q33" s="47" t="s">
        <v>138</v>
      </c>
      <c r="R33" s="47" t="s">
        <v>139</v>
      </c>
      <c r="S33" s="52" t="s">
        <v>137</v>
      </c>
      <c r="T33" s="52" t="s">
        <v>137</v>
      </c>
      <c r="U33" s="52" t="s">
        <v>137</v>
      </c>
      <c r="V33" s="52" t="s">
        <v>137</v>
      </c>
      <c r="W33" s="52" t="s">
        <v>137</v>
      </c>
      <c r="X33" s="52" t="s">
        <v>137</v>
      </c>
      <c r="Y33" s="52" t="s">
        <v>137</v>
      </c>
      <c r="Z33" s="52" t="s">
        <v>137</v>
      </c>
      <c r="AA33" s="52" t="s">
        <v>137</v>
      </c>
      <c r="AB33" s="52" t="s">
        <v>137</v>
      </c>
      <c r="AC33" s="52" t="s">
        <v>137</v>
      </c>
      <c r="AD33" s="52" t="s">
        <v>137</v>
      </c>
      <c r="AE33" s="52" t="s">
        <v>137</v>
      </c>
      <c r="AF33" s="52" t="s">
        <v>137</v>
      </c>
      <c r="AG33" s="52" t="s">
        <v>137</v>
      </c>
      <c r="AH33" s="52" t="s">
        <v>137</v>
      </c>
      <c r="AI33" s="52" t="s">
        <v>137</v>
      </c>
      <c r="AJ33" s="52" t="s">
        <v>137</v>
      </c>
      <c r="AK33" s="52" t="s">
        <v>137</v>
      </c>
      <c r="AL33" s="52" t="s">
        <v>137</v>
      </c>
      <c r="AM33" s="52" t="s">
        <v>137</v>
      </c>
      <c r="AN33" s="52" t="s">
        <v>137</v>
      </c>
      <c r="AO33" s="52" t="s">
        <v>137</v>
      </c>
      <c r="AP33" s="52" t="s">
        <v>137</v>
      </c>
      <c r="AQ33" s="52" t="s">
        <v>137</v>
      </c>
      <c r="AR33" s="52" t="s">
        <v>137</v>
      </c>
      <c r="AS33" s="52" t="s">
        <v>137</v>
      </c>
      <c r="AT33" s="52" t="s">
        <v>137</v>
      </c>
      <c r="AU33" s="52" t="s">
        <v>137</v>
      </c>
      <c r="AV33" s="52" t="s">
        <v>137</v>
      </c>
    </row>
    <row r="34" spans="1:48" ht="40.5">
      <c r="A34" s="39"/>
      <c r="B34" s="45" t="s">
        <v>236</v>
      </c>
      <c r="C34" s="44" t="s">
        <v>234</v>
      </c>
      <c r="D34" s="39"/>
      <c r="E34" s="49">
        <v>1</v>
      </c>
      <c r="F34" s="48">
        <v>0</v>
      </c>
      <c r="G34" s="53">
        <v>46128.594093842592</v>
      </c>
      <c r="H34" s="53">
        <v>46128.594093842592</v>
      </c>
      <c r="I34" s="47" t="s">
        <v>135</v>
      </c>
      <c r="J34" s="47">
        <v>100001</v>
      </c>
      <c r="K34" s="47" t="s">
        <v>136</v>
      </c>
      <c r="L34" s="48">
        <v>1</v>
      </c>
      <c r="M34" s="52" t="s">
        <v>137</v>
      </c>
      <c r="N34" s="47" t="s">
        <v>86</v>
      </c>
      <c r="O34" s="48">
        <v>20251002</v>
      </c>
      <c r="P34" s="48">
        <v>20251231</v>
      </c>
      <c r="Q34" s="47" t="s">
        <v>140</v>
      </c>
      <c r="R34" s="47" t="s">
        <v>141</v>
      </c>
      <c r="S34" s="52" t="s">
        <v>137</v>
      </c>
      <c r="T34" s="52" t="s">
        <v>137</v>
      </c>
      <c r="U34" s="52" t="s">
        <v>137</v>
      </c>
      <c r="V34" s="52" t="s">
        <v>137</v>
      </c>
      <c r="W34" s="52" t="s">
        <v>137</v>
      </c>
      <c r="X34" s="52" t="s">
        <v>137</v>
      </c>
      <c r="Y34" s="52" t="s">
        <v>137</v>
      </c>
      <c r="Z34" s="52" t="s">
        <v>137</v>
      </c>
      <c r="AA34" s="52" t="s">
        <v>137</v>
      </c>
      <c r="AB34" s="52" t="s">
        <v>137</v>
      </c>
      <c r="AC34" s="52" t="s">
        <v>137</v>
      </c>
      <c r="AD34" s="52" t="s">
        <v>137</v>
      </c>
      <c r="AE34" s="52" t="s">
        <v>137</v>
      </c>
      <c r="AF34" s="52" t="s">
        <v>137</v>
      </c>
      <c r="AG34" s="52" t="s">
        <v>137</v>
      </c>
      <c r="AH34" s="52" t="s">
        <v>137</v>
      </c>
      <c r="AI34" s="52" t="s">
        <v>137</v>
      </c>
      <c r="AJ34" s="52" t="s">
        <v>137</v>
      </c>
      <c r="AK34" s="52" t="s">
        <v>137</v>
      </c>
      <c r="AL34" s="52" t="s">
        <v>137</v>
      </c>
      <c r="AM34" s="52" t="s">
        <v>137</v>
      </c>
      <c r="AN34" s="52" t="s">
        <v>137</v>
      </c>
      <c r="AO34" s="52" t="s">
        <v>137</v>
      </c>
      <c r="AP34" s="52" t="s">
        <v>137</v>
      </c>
      <c r="AQ34" s="52" t="s">
        <v>137</v>
      </c>
      <c r="AR34" s="52" t="s">
        <v>137</v>
      </c>
      <c r="AS34" s="52" t="s">
        <v>137</v>
      </c>
      <c r="AT34" s="52" t="s">
        <v>137</v>
      </c>
      <c r="AU34" s="52" t="s">
        <v>137</v>
      </c>
      <c r="AV34" s="52" t="s">
        <v>137</v>
      </c>
    </row>
    <row r="35" spans="1:48" ht="54">
      <c r="A35" s="39"/>
      <c r="B35" s="45" t="s">
        <v>235</v>
      </c>
      <c r="C35" s="44" t="s">
        <v>234</v>
      </c>
      <c r="D35" s="39"/>
      <c r="E35" s="47" t="s">
        <v>81</v>
      </c>
      <c r="F35" s="48">
        <v>0</v>
      </c>
      <c r="G35" s="53">
        <v>46128.594093842592</v>
      </c>
      <c r="H35" s="53">
        <v>46128.594093842592</v>
      </c>
      <c r="I35" s="47" t="s">
        <v>135</v>
      </c>
      <c r="J35" s="49">
        <v>999999</v>
      </c>
      <c r="K35" s="47" t="s">
        <v>136</v>
      </c>
      <c r="L35" s="48">
        <v>1</v>
      </c>
      <c r="M35" s="52" t="s">
        <v>137</v>
      </c>
      <c r="N35" s="47" t="s">
        <v>82</v>
      </c>
      <c r="O35" s="48">
        <v>20251002</v>
      </c>
      <c r="P35" s="48">
        <v>20251231</v>
      </c>
      <c r="Q35" s="47" t="s">
        <v>142</v>
      </c>
      <c r="R35" s="47" t="s">
        <v>143</v>
      </c>
      <c r="S35" s="52" t="s">
        <v>137</v>
      </c>
      <c r="T35" s="52" t="s">
        <v>137</v>
      </c>
      <c r="U35" s="52" t="s">
        <v>137</v>
      </c>
      <c r="V35" s="52" t="s">
        <v>137</v>
      </c>
      <c r="W35" s="52" t="s">
        <v>137</v>
      </c>
      <c r="X35" s="52" t="s">
        <v>137</v>
      </c>
      <c r="Y35" s="52" t="s">
        <v>137</v>
      </c>
      <c r="Z35" s="52" t="s">
        <v>137</v>
      </c>
      <c r="AA35" s="52" t="s">
        <v>137</v>
      </c>
      <c r="AB35" s="52" t="s">
        <v>137</v>
      </c>
      <c r="AC35" s="52" t="s">
        <v>137</v>
      </c>
      <c r="AD35" s="52" t="s">
        <v>137</v>
      </c>
      <c r="AE35" s="52" t="s">
        <v>137</v>
      </c>
      <c r="AF35" s="52" t="s">
        <v>137</v>
      </c>
      <c r="AG35" s="52" t="s">
        <v>137</v>
      </c>
      <c r="AH35" s="52" t="s">
        <v>137</v>
      </c>
      <c r="AI35" s="52" t="s">
        <v>137</v>
      </c>
      <c r="AJ35" s="52" t="s">
        <v>137</v>
      </c>
      <c r="AK35" s="52" t="s">
        <v>137</v>
      </c>
      <c r="AL35" s="52" t="s">
        <v>137</v>
      </c>
      <c r="AM35" s="52" t="s">
        <v>137</v>
      </c>
      <c r="AN35" s="52" t="s">
        <v>137</v>
      </c>
      <c r="AO35" s="52" t="s">
        <v>137</v>
      </c>
      <c r="AP35" s="52" t="s">
        <v>137</v>
      </c>
      <c r="AQ35" s="52" t="s">
        <v>137</v>
      </c>
      <c r="AR35" s="52" t="s">
        <v>137</v>
      </c>
      <c r="AS35" s="52" t="s">
        <v>137</v>
      </c>
      <c r="AT35" s="52" t="s">
        <v>137</v>
      </c>
      <c r="AU35" s="52" t="s">
        <v>137</v>
      </c>
      <c r="AV35" s="52" t="s">
        <v>137</v>
      </c>
    </row>
    <row r="36" spans="1:48">
      <c r="A36" s="39"/>
      <c r="D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</row>
    <row r="37" spans="1:48">
      <c r="A37" s="39"/>
      <c r="D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</row>
    <row r="38" spans="1:48">
      <c r="A38" s="39"/>
      <c r="D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</row>
    <row r="39" spans="1:48"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</row>
    <row r="40" spans="1:48">
      <c r="A40" s="39"/>
      <c r="B40" s="39"/>
      <c r="C40" s="39"/>
      <c r="D40" s="39" t="s">
        <v>91</v>
      </c>
      <c r="E40" s="39"/>
      <c r="F40" s="39"/>
      <c r="G40" s="39"/>
      <c r="H40" s="39"/>
      <c r="I40" s="39"/>
      <c r="J40" s="39"/>
      <c r="K40" s="39"/>
      <c r="L40" s="39"/>
      <c r="M40" s="39"/>
      <c r="N40" s="43" t="s">
        <v>92</v>
      </c>
      <c r="O40" s="43" t="s">
        <v>92</v>
      </c>
      <c r="P40" s="43" t="s">
        <v>92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</row>
    <row r="41" spans="1:48">
      <c r="D41" s="37" t="s">
        <v>90</v>
      </c>
      <c r="N41" s="43"/>
      <c r="O41" s="43"/>
      <c r="P41" s="43"/>
    </row>
    <row r="42" spans="1:48" ht="27">
      <c r="B42" s="40" t="s">
        <v>42</v>
      </c>
      <c r="C42" s="41" t="s">
        <v>165</v>
      </c>
      <c r="E42" s="46" t="s">
        <v>67</v>
      </c>
      <c r="F42" s="46" t="s">
        <v>68</v>
      </c>
      <c r="G42" s="46" t="s">
        <v>69</v>
      </c>
      <c r="H42" s="46" t="s">
        <v>70</v>
      </c>
      <c r="I42" s="46" t="s">
        <v>144</v>
      </c>
      <c r="J42" s="46" t="s">
        <v>145</v>
      </c>
      <c r="K42" s="46" t="s">
        <v>146</v>
      </c>
      <c r="L42" s="46" t="s">
        <v>147</v>
      </c>
      <c r="M42" s="46" t="s">
        <v>148</v>
      </c>
      <c r="N42" s="46" t="s">
        <v>149</v>
      </c>
      <c r="O42" s="46" t="s">
        <v>150</v>
      </c>
      <c r="P42" s="46" t="s">
        <v>151</v>
      </c>
      <c r="Q42" s="46" t="s">
        <v>152</v>
      </c>
      <c r="R42" s="46" t="s">
        <v>153</v>
      </c>
      <c r="S42" s="46" t="s">
        <v>154</v>
      </c>
      <c r="T42" s="46" t="s">
        <v>155</v>
      </c>
    </row>
    <row r="43" spans="1:48" ht="40.5">
      <c r="B43" s="42" t="s">
        <v>215</v>
      </c>
      <c r="C43" s="44" t="s">
        <v>234</v>
      </c>
      <c r="E43" s="47" t="s">
        <v>81</v>
      </c>
      <c r="F43" s="48">
        <v>0</v>
      </c>
      <c r="G43" s="53">
        <v>46128.596052361114</v>
      </c>
      <c r="H43" s="53">
        <v>46128.596052361114</v>
      </c>
      <c r="I43" s="47" t="s">
        <v>135</v>
      </c>
      <c r="J43" s="53">
        <v>46128.596052361114</v>
      </c>
      <c r="K43" s="47" t="s">
        <v>135</v>
      </c>
      <c r="L43" s="53">
        <v>46128.596052361114</v>
      </c>
      <c r="M43" s="47" t="s">
        <v>135</v>
      </c>
      <c r="N43" s="47" t="s">
        <v>159</v>
      </c>
      <c r="O43" s="47" t="s">
        <v>156</v>
      </c>
      <c r="P43" s="51">
        <v>20251020</v>
      </c>
      <c r="Q43" s="48">
        <v>20251231</v>
      </c>
      <c r="R43" s="47" t="s">
        <v>157</v>
      </c>
      <c r="S43" s="47" t="s">
        <v>158</v>
      </c>
      <c r="T43" s="47" t="s">
        <v>185</v>
      </c>
    </row>
    <row r="44" spans="1:48" ht="46.9" customHeight="1">
      <c r="B44" s="42" t="s">
        <v>214</v>
      </c>
      <c r="C44" s="44" t="s">
        <v>234</v>
      </c>
      <c r="E44" s="47" t="s">
        <v>81</v>
      </c>
      <c r="F44" s="48">
        <v>0</v>
      </c>
      <c r="G44" s="53">
        <v>46128.596052361114</v>
      </c>
      <c r="H44" s="53">
        <v>46128.596052361114</v>
      </c>
      <c r="I44" s="47" t="s">
        <v>135</v>
      </c>
      <c r="J44" s="53">
        <v>46128.596052361114</v>
      </c>
      <c r="K44" s="47" t="s">
        <v>135</v>
      </c>
      <c r="L44" s="53">
        <v>46128.596052361114</v>
      </c>
      <c r="M44" s="47" t="s">
        <v>135</v>
      </c>
      <c r="N44" s="47" t="s">
        <v>159</v>
      </c>
      <c r="O44" s="47" t="s">
        <v>160</v>
      </c>
      <c r="P44" s="48">
        <v>20251001</v>
      </c>
      <c r="Q44" s="51">
        <v>20251020</v>
      </c>
      <c r="R44" s="47" t="s">
        <v>161</v>
      </c>
      <c r="S44" s="47" t="s">
        <v>162</v>
      </c>
      <c r="T44" s="47" t="s">
        <v>85</v>
      </c>
    </row>
    <row r="45" spans="1:48" ht="67.5">
      <c r="B45" s="42" t="s">
        <v>229</v>
      </c>
      <c r="C45" s="44" t="s">
        <v>228</v>
      </c>
      <c r="E45" s="47" t="s">
        <v>81</v>
      </c>
      <c r="F45" s="48">
        <v>0</v>
      </c>
      <c r="G45" s="53">
        <v>46128.596052361114</v>
      </c>
      <c r="H45" s="53">
        <v>46128.596052361114</v>
      </c>
      <c r="I45" s="47" t="s">
        <v>135</v>
      </c>
      <c r="J45" s="53">
        <v>46128.596052361114</v>
      </c>
      <c r="K45" s="47" t="s">
        <v>135</v>
      </c>
      <c r="L45" s="53">
        <v>46128.596052361114</v>
      </c>
      <c r="M45" s="47" t="s">
        <v>135</v>
      </c>
      <c r="N45" s="47" t="s">
        <v>159</v>
      </c>
      <c r="O45" s="49" t="s">
        <v>226</v>
      </c>
      <c r="P45" s="51">
        <v>20251001</v>
      </c>
      <c r="Q45" s="51">
        <v>20251031</v>
      </c>
      <c r="R45" s="47" t="s">
        <v>216</v>
      </c>
      <c r="S45" s="47" t="s">
        <v>217</v>
      </c>
      <c r="T45" s="47" t="s">
        <v>227</v>
      </c>
    </row>
    <row r="46" spans="1:48" ht="46.9" customHeight="1">
      <c r="B46" s="42" t="s">
        <v>94</v>
      </c>
      <c r="C46" s="44" t="s">
        <v>234</v>
      </c>
      <c r="E46" s="47" t="s">
        <v>81</v>
      </c>
      <c r="F46" s="48">
        <v>0</v>
      </c>
      <c r="G46" s="53">
        <v>46128.596052361114</v>
      </c>
      <c r="H46" s="53">
        <v>46128.596052361114</v>
      </c>
      <c r="I46" s="47" t="s">
        <v>135</v>
      </c>
      <c r="J46" s="53">
        <v>46128.596052361114</v>
      </c>
      <c r="K46" s="47" t="s">
        <v>135</v>
      </c>
      <c r="L46" s="53">
        <v>46128.596052361114</v>
      </c>
      <c r="M46" s="47" t="s">
        <v>135</v>
      </c>
      <c r="N46" s="47" t="s">
        <v>159</v>
      </c>
      <c r="O46" s="47" t="s">
        <v>156</v>
      </c>
      <c r="P46" s="48">
        <v>20251002</v>
      </c>
      <c r="Q46" s="51">
        <v>20251019</v>
      </c>
      <c r="R46" s="47" t="s">
        <v>157</v>
      </c>
      <c r="S46" s="47" t="s">
        <v>158</v>
      </c>
      <c r="T46" s="47" t="s">
        <v>185</v>
      </c>
    </row>
    <row r="47" spans="1:48" ht="46.9" customHeight="1">
      <c r="B47" s="42" t="s">
        <v>95</v>
      </c>
      <c r="C47" s="44" t="s">
        <v>234</v>
      </c>
      <c r="E47" s="47" t="s">
        <v>81</v>
      </c>
      <c r="F47" s="48">
        <v>0</v>
      </c>
      <c r="G47" s="53">
        <v>46128.596052361114</v>
      </c>
      <c r="H47" s="53">
        <v>46128.596052361114</v>
      </c>
      <c r="I47" s="47" t="s">
        <v>135</v>
      </c>
      <c r="J47" s="53">
        <v>46128.596052361114</v>
      </c>
      <c r="K47" s="47" t="s">
        <v>135</v>
      </c>
      <c r="L47" s="53">
        <v>46128.596052361114</v>
      </c>
      <c r="M47" s="47" t="s">
        <v>135</v>
      </c>
      <c r="N47" s="47" t="s">
        <v>159</v>
      </c>
      <c r="O47" s="47" t="s">
        <v>160</v>
      </c>
      <c r="P47" s="51">
        <v>20251021</v>
      </c>
      <c r="Q47" s="48">
        <v>20251231</v>
      </c>
      <c r="R47" s="47" t="s">
        <v>161</v>
      </c>
      <c r="S47" s="47" t="s">
        <v>162</v>
      </c>
      <c r="T47" s="47" t="s">
        <v>85</v>
      </c>
    </row>
    <row r="48" spans="1:48" ht="40.5">
      <c r="B48" s="45" t="s">
        <v>236</v>
      </c>
      <c r="C48" s="44" t="s">
        <v>234</v>
      </c>
      <c r="E48" s="49">
        <v>1</v>
      </c>
      <c r="F48" s="48">
        <v>0</v>
      </c>
      <c r="G48" s="53">
        <v>46128.596052361114</v>
      </c>
      <c r="H48" s="53">
        <v>46128.596052361114</v>
      </c>
      <c r="I48" s="47" t="s">
        <v>135</v>
      </c>
      <c r="J48" s="53">
        <v>46128.596052361114</v>
      </c>
      <c r="K48" s="47" t="s">
        <v>135</v>
      </c>
      <c r="L48" s="53">
        <v>46128.596052361114</v>
      </c>
      <c r="M48" s="47" t="s">
        <v>135</v>
      </c>
      <c r="N48" s="47" t="s">
        <v>159</v>
      </c>
      <c r="O48" s="47" t="s">
        <v>156</v>
      </c>
      <c r="P48" s="48">
        <v>20251003</v>
      </c>
      <c r="Q48" s="48">
        <v>20251231</v>
      </c>
      <c r="R48" s="47" t="s">
        <v>157</v>
      </c>
      <c r="S48" s="47" t="s">
        <v>158</v>
      </c>
      <c r="T48" s="47" t="s">
        <v>185</v>
      </c>
    </row>
    <row r="49" spans="2:20" ht="54">
      <c r="B49" s="45" t="s">
        <v>237</v>
      </c>
      <c r="C49" s="44" t="s">
        <v>234</v>
      </c>
      <c r="E49" s="47" t="s">
        <v>81</v>
      </c>
      <c r="F49" s="48">
        <v>0</v>
      </c>
      <c r="G49" s="53">
        <v>46128.596052361114</v>
      </c>
      <c r="H49" s="53">
        <v>46128.596052361114</v>
      </c>
      <c r="I49" s="47" t="s">
        <v>135</v>
      </c>
      <c r="J49" s="53">
        <v>46128.596052361114</v>
      </c>
      <c r="K49" s="47" t="s">
        <v>135</v>
      </c>
      <c r="L49" s="53">
        <v>46128.596052361114</v>
      </c>
      <c r="M49" s="47" t="s">
        <v>135</v>
      </c>
      <c r="N49" s="49">
        <v>999999</v>
      </c>
      <c r="O49" s="47" t="s">
        <v>160</v>
      </c>
      <c r="P49" s="48">
        <v>20251002</v>
      </c>
      <c r="Q49" s="48">
        <v>20251231</v>
      </c>
      <c r="R49" s="47" t="s">
        <v>161</v>
      </c>
      <c r="S49" s="47" t="s">
        <v>162</v>
      </c>
      <c r="T49" s="47" t="s">
        <v>85</v>
      </c>
    </row>
  </sheetData>
  <phoneticPr fontId="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adb6f-a0c7-41a0-a612-fc40f281be47" xsi:nil="true"/>
    <lcf76f155ced4ddcb4097134ff3c332f xmlns="25c05856-9bdf-4c22-ab6e-2155d1bf875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A740709878BA5408EF596FFBAAFFA6C" ma:contentTypeVersion="11" ma:contentTypeDescription="新しいドキュメントを作成します。" ma:contentTypeScope="" ma:versionID="1a7321da3db519e5e678eef3db3451b8">
  <xsd:schema xmlns:xsd="http://www.w3.org/2001/XMLSchema" xmlns:xs="http://www.w3.org/2001/XMLSchema" xmlns:p="http://schemas.microsoft.com/office/2006/metadata/properties" xmlns:ns2="25c05856-9bdf-4c22-ab6e-2155d1bf8754" xmlns:ns3="833adb6f-a0c7-41a0-a612-fc40f281be47" targetNamespace="http://schemas.microsoft.com/office/2006/metadata/properties" ma:root="true" ma:fieldsID="af4beea3d4da84c2986867c09fad40de" ns2:_="" ns3:_="">
    <xsd:import namespace="25c05856-9bdf-4c22-ab6e-2155d1bf8754"/>
    <xsd:import namespace="833adb6f-a0c7-41a0-a612-fc40f281be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05856-9bdf-4c22-ab6e-2155d1bf8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adb6f-a0c7-41a0-a612-fc40f281be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d5b13-1d1a-48f0-a60a-57147129c68c}" ma:internalName="TaxCatchAll" ma:showField="CatchAllData" ma:web="833adb6f-a0c7-41a0-a612-fc40f281be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FF1E61-C5A2-4F0D-B2CA-03AEC0338BA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9EFB726-B626-4119-A73F-C395FDA008A8}">
  <ds:schemaRefs>
    <ds:schemaRef ds:uri="http://schemas.microsoft.com/office/2006/metadata/properties"/>
    <ds:schemaRef ds:uri="http://schemas.microsoft.com/office/infopath/2007/PartnerControls"/>
    <ds:schemaRef ds:uri="833adb6f-a0c7-41a0-a612-fc40f281be47"/>
    <ds:schemaRef ds:uri="25c05856-9bdf-4c22-ab6e-2155d1bf8754"/>
  </ds:schemaRefs>
</ds:datastoreItem>
</file>

<file path=customXml/itemProps3.xml><?xml version="1.0" encoding="utf-8"?>
<ds:datastoreItem xmlns:ds="http://schemas.openxmlformats.org/officeDocument/2006/customXml" ds:itemID="{48571BE0-9478-416A-A275-0EE5D7D9215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37E8C93-060A-4361-AE2A-0F5D5432AA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05856-9bdf-4c22-ab6e-2155d1bf8754"/>
    <ds:schemaRef ds:uri="833adb6f-a0c7-41a0-a612-fc40f281be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13</vt:i4>
      </vt:variant>
    </vt:vector>
  </HeadingPairs>
  <TitlesOfParts>
    <vt:vector size="26" baseType="lpstr">
      <vt:lpstr>表紙</vt:lpstr>
      <vt:lpstr>改訂履歴</vt:lpstr>
      <vt:lpstr>テスト一覧</vt:lpstr>
      <vt:lpstr>テスト仕様（No.1)</vt:lpstr>
      <vt:lpstr>テストデータDB（No.1）</vt:lpstr>
      <vt:lpstr>テストデータ期待値（No.1)</vt:lpstr>
      <vt:lpstr>テスト仕様（No.2)</vt:lpstr>
      <vt:lpstr>テストデータDB（No.2）</vt:lpstr>
      <vt:lpstr>テストデータ期待値（No.2)</vt:lpstr>
      <vt:lpstr>テスト仕様（No.3)</vt:lpstr>
      <vt:lpstr>テストデータDB（No.3）</vt:lpstr>
      <vt:lpstr>テストデータ期待値（No.3)</vt:lpstr>
      <vt:lpstr>テストデータDB（No.x）</vt:lpstr>
      <vt:lpstr>'テスト仕様（No.1)'!Print_Area</vt:lpstr>
      <vt:lpstr>'テスト仕様（No.2)'!Print_Area</vt:lpstr>
      <vt:lpstr>'テスト仕様（No.3)'!Print_Area</vt:lpstr>
      <vt:lpstr>表紙!Print_Area</vt:lpstr>
      <vt:lpstr>テスト一覧!Print_Titles</vt:lpstr>
      <vt:lpstr>'テスト仕様（No.1)'!Print_Titles</vt:lpstr>
      <vt:lpstr>'テスト仕様（No.2)'!Print_Titles</vt:lpstr>
      <vt:lpstr>'テスト仕様（No.3)'!Print_Titles</vt:lpstr>
      <vt:lpstr>改訂履歴!Print_Titles</vt:lpstr>
      <vt:lpstr>表紙!Print_Titles</vt:lpstr>
      <vt:lpstr>'テスト仕様（No.1)'!テストケース数シート別</vt:lpstr>
      <vt:lpstr>'テスト仕様（No.2)'!テストケース数シート別</vt:lpstr>
      <vt:lpstr>'テスト仕様（No.3)'!テストケース数シート別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SCSK</dc:creator>
  <cp:keywords/>
  <dc:description/>
  <cp:lastModifiedBy>韓 瀟</cp:lastModifiedBy>
  <cp:revision/>
  <dcterms:created xsi:type="dcterms:W3CDTF">2013-11-22T09:46:59Z</dcterms:created>
  <dcterms:modified xsi:type="dcterms:W3CDTF">2026-05-19T02:24:08Z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0x010100AA740709878BA5408EF596FFBAAFFA6C</vt:lpwstr>
  </property>
</Properties>
</file>