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92AF3C7-88F1-4817-BC4A-1D742B499659}" xr6:coauthVersionLast="47" xr6:coauthVersionMax="47" xr10:uidLastSave="{00000000-0000-0000-0000-000000000000}"/>
  <bookViews>
    <workbookView xWindow="-120" yWindow="-120" windowWidth="29040" windowHeight="15720" tabRatio="808" xr2:uid="{5CF24B58-F73C-487B-B368-70A7F87B455C}"/>
  </bookViews>
  <sheets>
    <sheet name="表紙" sheetId="9" r:id="rId1"/>
    <sheet name="改訂履歴" sheetId="10" r:id="rId2"/>
    <sheet name="テスト一覧" sheetId="34" r:id="rId3"/>
    <sheet name="テスト仕様（No.1)" sheetId="55" r:id="rId4"/>
    <sheet name="テストデータDB（No.1,2）" sheetId="60" r:id="rId5"/>
    <sheet name="テストデータ期待値（No.1）" sheetId="61" r:id="rId6"/>
    <sheet name="テスト仕様（No.2）" sheetId="54" r:id="rId7"/>
    <sheet name="テストデータ期待値（No.2）" sheetId="49" r:id="rId8"/>
  </sheets>
  <externalReferences>
    <externalReference r:id="rId9"/>
    <externalReference r:id="rId10"/>
    <externalReference r:id="rId11"/>
    <externalReference r:id="rId12"/>
  </externalReferences>
  <definedNames>
    <definedName name="__123Graph_A" hidden="1">#REF!</definedName>
    <definedName name="__123Graph_C" hidden="1">#REF!</definedName>
    <definedName name="__123Graph_D" hidden="1">#REF!</definedName>
    <definedName name="__123Graph_E" hidden="1">#REF!</definedName>
    <definedName name="__123Graph_X" hidden="1">#REF!</definedName>
    <definedName name="__ＪＰ１" localSheetId="4" hidden="1">{"'名古屋'!$A$1:$H$32"}</definedName>
    <definedName name="__ＪＰ１" localSheetId="5" hidden="1">{"'名古屋'!$A$1:$H$32"}</definedName>
    <definedName name="__ＪＰ１" hidden="1">{"'名古屋'!$A$1:$H$32"}</definedName>
    <definedName name="_1a6_" localSheetId="4" hidden="1">{"'一覧'!$A$1:$M$28"}</definedName>
    <definedName name="_1a6_" localSheetId="5" hidden="1">{"'一覧'!$A$1:$M$28"}</definedName>
    <definedName name="_1a6_" hidden="1">{"'一覧'!$A$1:$M$28"}</definedName>
    <definedName name="_21Ａ２_" localSheetId="4" hidden="1">{#N/A,#N/A,TRUE,"SE費";#N/A,#N/A,TRUE,"設計費";#N/A,#N/A,TRUE,"ハード費"}</definedName>
    <definedName name="_21Ａ２_" localSheetId="5" hidden="1">{#N/A,#N/A,TRUE,"SE費";#N/A,#N/A,TRUE,"設計費";#N/A,#N/A,TRUE,"ハード費"}</definedName>
    <definedName name="_21Ａ２_" hidden="1">{#N/A,#N/A,TRUE,"SE費";#N/A,#N/A,TRUE,"設計費";#N/A,#N/A,TRUE,"ハード費"}</definedName>
    <definedName name="_2b1_" localSheetId="4" hidden="1">{"'一覧'!$A$1:$M$28"}</definedName>
    <definedName name="_2b1_" localSheetId="5" hidden="1">{"'一覧'!$A$1:$M$28"}</definedName>
    <definedName name="_2b1_" hidden="1">{"'一覧'!$A$1:$M$28"}</definedName>
    <definedName name="_3q1_" localSheetId="4" hidden="1">{"'一覧'!$A$1:$M$28"}</definedName>
    <definedName name="_3q1_" localSheetId="5" hidden="1">{"'一覧'!$A$1:$M$28"}</definedName>
    <definedName name="_3q1_" hidden="1">{"'一覧'!$A$1:$M$28"}</definedName>
    <definedName name="_4q3_" localSheetId="4" hidden="1">{"'一覧'!$A$1:$M$28"}</definedName>
    <definedName name="_4q3_" localSheetId="5" hidden="1">{"'一覧'!$A$1:$M$28"}</definedName>
    <definedName name="_4q3_" hidden="1">{"'一覧'!$A$1:$M$28"}</definedName>
    <definedName name="_5q4_" localSheetId="4" hidden="1">{"'一覧'!$A$1:$M$28"}</definedName>
    <definedName name="_5q4_" localSheetId="5" hidden="1">{"'一覧'!$A$1:$M$28"}</definedName>
    <definedName name="_5q4_" hidden="1">{"'一覧'!$A$1:$M$28"}</definedName>
    <definedName name="_6q5_" localSheetId="4" hidden="1">{"'一覧'!$A$1:$M$28"}</definedName>
    <definedName name="_6q5_" localSheetId="5" hidden="1">{"'一覧'!$A$1:$M$28"}</definedName>
    <definedName name="_6q5_" hidden="1">{"'一覧'!$A$1:$M$28"}</definedName>
    <definedName name="_asd" hidden="1">#REF!</definedName>
    <definedName name="_BQ4.1" hidden="1">#REF!</definedName>
    <definedName name="_BQ4.3" hidden="1">#REF!</definedName>
    <definedName name="_Fill" hidden="1">#REF!</definedName>
    <definedName name="_xlnm._FilterDatabase" localSheetId="3" hidden="1">'テスト仕様（No.1)'!$B$1:$O$16</definedName>
    <definedName name="_xlnm._FilterDatabase" localSheetId="6" hidden="1">'テスト仕様（No.2）'!$B$1:$O$9</definedName>
    <definedName name="_xlnm._FilterDatabase" hidden="1">#REF!</definedName>
    <definedName name="_Key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Table2_In1" hidden="1">#REF!</definedName>
    <definedName name="_Table2_In2" hidden="1">#REF!</definedName>
    <definedName name="_ｘｘｘ" hidden="1">#REF!</definedName>
    <definedName name="￥" hidden="1">#REF!</definedName>
    <definedName name="aa" localSheetId="4" hidden="1">{#N/A,#N/A,FALSE,"勤管理原"}</definedName>
    <definedName name="aa" localSheetId="5" hidden="1">{#N/A,#N/A,FALSE,"勤管理原"}</definedName>
    <definedName name="aa" hidden="1">{#N/A,#N/A,FALSE,"勤管理原"}</definedName>
    <definedName name="aaa" localSheetId="4" hidden="1">{#N/A,#N/A,FALSE,"担当"}</definedName>
    <definedName name="aaa" localSheetId="5" hidden="1">{#N/A,#N/A,FALSE,"担当"}</definedName>
    <definedName name="aaa" hidden="1">{#N/A,#N/A,FALSE,"担当"}</definedName>
    <definedName name="aaa.出力" localSheetId="4" hidden="1">{#N/A,#N/A,FALSE,"本部-店舗通信ﾃｽﾄｽｹｼﾞｭｰﾙ"}</definedName>
    <definedName name="aaa.出力" localSheetId="5" hidden="1">{#N/A,#N/A,FALSE,"本部-店舗通信ﾃｽﾄｽｹｼﾞｭｰﾙ"}</definedName>
    <definedName name="aaa.出力" hidden="1">{#N/A,#N/A,FALSE,"本部-店舗通信ﾃｽﾄｽｹｼﾞｭｰﾙ"}</definedName>
    <definedName name="aaaa" localSheetId="4" hidden="1">{#N/A,#N/A,FALSE,"勤管理原"}</definedName>
    <definedName name="aaaa" localSheetId="5" hidden="1">{#N/A,#N/A,FALSE,"勤管理原"}</definedName>
    <definedName name="aaaa" hidden="1">{#N/A,#N/A,FALSE,"勤管理原"}</definedName>
    <definedName name="aaaaa" localSheetId="4" hidden="1">{#N/A,#N/A,FALSE,"本部-店舗通信ﾃｽﾄｽｹｼﾞｭｰﾙ"}</definedName>
    <definedName name="aaaaa" localSheetId="5" hidden="1">{#N/A,#N/A,FALSE,"本部-店舗通信ﾃｽﾄｽｹｼﾞｭｰﾙ"}</definedName>
    <definedName name="aaaaa" hidden="1">{#N/A,#N/A,FALSE,"本部-店舗通信ﾃｽﾄｽｹｼﾞｭｰﾙ"}</definedName>
    <definedName name="aaaaaa" localSheetId="4" hidden="1">{#N/A,#N/A,FALSE,"本部-店舗通信ﾃｽﾄｽｹｼﾞｭｰﾙ"}</definedName>
    <definedName name="aaaaaa" localSheetId="5" hidden="1">{#N/A,#N/A,FALSE,"本部-店舗通信ﾃｽﾄｽｹｼﾞｭｰﾙ"}</definedName>
    <definedName name="aaaaaa" hidden="1">{#N/A,#N/A,FALSE,"本部-店舗通信ﾃｽﾄｽｹｼﾞｭｰﾙ"}</definedName>
    <definedName name="AAAAAAAAA" localSheetId="4" hidden="1">{"Master Status",#N/A,FALSE,"Master"}</definedName>
    <definedName name="AAAAAAAAA" localSheetId="5" hidden="1">{"Master Status",#N/A,FALSE,"Master"}</definedName>
    <definedName name="AAAAAAAAA" hidden="1">{"Master Status",#N/A,FALSE,"Master"}</definedName>
    <definedName name="aas" localSheetId="4" hidden="1">{#N/A,#N/A,FALSE,"勤管理原"}</definedName>
    <definedName name="aas" localSheetId="5" hidden="1">{#N/A,#N/A,FALSE,"勤管理原"}</definedName>
    <definedName name="aas" hidden="1">{#N/A,#N/A,FALSE,"勤管理原"}</definedName>
    <definedName name="aax" localSheetId="4" hidden="1">{#N/A,#N/A,FALSE,"勤管理原"}</definedName>
    <definedName name="aax" localSheetId="5" hidden="1">{#N/A,#N/A,FALSE,"勤管理原"}</definedName>
    <definedName name="aax" hidden="1">{#N/A,#N/A,FALSE,"勤管理原"}</definedName>
    <definedName name="AccessDatabase" hidden="1">"C:\Tmp\db1.mdb"</definedName>
    <definedName name="ajajak" localSheetId="4" hidden="1">{#N/A,#N/A,FALSE,"本部-店舗通信ﾃｽﾄｽｹｼﾞｭｰﾙ"}</definedName>
    <definedName name="ajajak" localSheetId="5" hidden="1">{#N/A,#N/A,FALSE,"本部-店舗通信ﾃｽﾄｽｹｼﾞｭｰﾙ"}</definedName>
    <definedName name="ajajak" hidden="1">{#N/A,#N/A,FALSE,"本部-店舗通信ﾃｽﾄｽｹｼﾞｭｰﾙ"}</definedName>
    <definedName name="akakalal" localSheetId="4" hidden="1">{#N/A,#N/A,FALSE,"本部-店舗通信ﾃｽﾄｽｹｼﾞｭｰﾙ"}</definedName>
    <definedName name="akakalal" localSheetId="5" hidden="1">{#N/A,#N/A,FALSE,"本部-店舗通信ﾃｽﾄｽｹｼﾞｭｰﾙ"}</definedName>
    <definedName name="akakalal" hidden="1">{#N/A,#N/A,FALSE,"本部-店舗通信ﾃｽﾄｽｹｼﾞｭｰﾙ"}</definedName>
    <definedName name="as" localSheetId="4" hidden="1">{"'画面サンプル'!$B$2:$FG$25"}</definedName>
    <definedName name="as" localSheetId="5" hidden="1">{"'画面サンプル'!$B$2:$FG$25"}</definedName>
    <definedName name="as" hidden="1">{"'画面サンプル'!$B$2:$FG$25"}</definedName>
    <definedName name="AS2DocOpenMode" hidden="1">"AS2DocumentEdit"</definedName>
    <definedName name="AS2HasNoAutoHeaderFooter" hidden="1">" "</definedName>
    <definedName name="asasasasasas" localSheetId="4" hidden="1">{#N/A,#N/A,FALSE,"本部-店舗通信ﾃｽﾄｽｹｼﾞｭｰﾙ"}</definedName>
    <definedName name="asasasasasas" localSheetId="5" hidden="1">{#N/A,#N/A,FALSE,"本部-店舗通信ﾃｽﾄｽｹｼﾞｭｰﾙ"}</definedName>
    <definedName name="asasasasasas" hidden="1">{#N/A,#N/A,FALSE,"本部-店舗通信ﾃｽﾄｽｹｼﾞｭｰﾙ"}</definedName>
    <definedName name="asdfgh" localSheetId="4" hidden="1">{#N/A,#N/A,FALSE,"本部-店舗通信ﾃｽﾄｽｹｼﾞｭｰﾙ"}</definedName>
    <definedName name="asdfgh" localSheetId="5" hidden="1">{#N/A,#N/A,FALSE,"本部-店舗通信ﾃｽﾄｽｹｼﾞｭｰﾙ"}</definedName>
    <definedName name="asdfgh" hidden="1">{#N/A,#N/A,FALSE,"本部-店舗通信ﾃｽﾄｽｹｼﾞｭｰﾙ"}</definedName>
    <definedName name="asdsa" localSheetId="4" hidden="1">{"'画面サンプル'!$B$2:$FG$25"}</definedName>
    <definedName name="asdsa" localSheetId="5" hidden="1">{"'画面サンプル'!$B$2:$FG$25"}</definedName>
    <definedName name="asdsa" hidden="1">{"'画面サンプル'!$B$2:$FG$25"}</definedName>
    <definedName name="asdsad" localSheetId="4" hidden="1">{"'画面サンプル'!$B$2:$FG$25"}</definedName>
    <definedName name="asdsad" localSheetId="5" hidden="1">{"'画面サンプル'!$B$2:$FG$25"}</definedName>
    <definedName name="asdsad" hidden="1">{"'画面サンプル'!$B$2:$FG$25"}</definedName>
    <definedName name="asxz" localSheetId="4" hidden="1">{"'画面サンプル'!$B$2:$FG$25"}</definedName>
    <definedName name="asxz" localSheetId="5" hidden="1">{"'画面サンプル'!$B$2:$FG$25"}</definedName>
    <definedName name="asxz" hidden="1">{"'画面サンプル'!$B$2:$FG$25"}</definedName>
    <definedName name="b" localSheetId="4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b" localSheetId="5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b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bb" localSheetId="4" hidden="1">{"'一覧'!$A$1:$M$28"}</definedName>
    <definedName name="bb" localSheetId="5" hidden="1">{"'一覧'!$A$1:$M$28"}</definedName>
    <definedName name="bb" hidden="1">{"'一覧'!$A$1:$M$28"}</definedName>
    <definedName name="bbb.出力" localSheetId="4" hidden="1">{#N/A,#N/A,FALSE,"本部-店舗通信ﾃｽﾄｽｹｼﾞｭｰﾙ"}</definedName>
    <definedName name="bbb.出力" localSheetId="5" hidden="1">{#N/A,#N/A,FALSE,"本部-店舗通信ﾃｽﾄｽｹｼﾞｭｰﾙ"}</definedName>
    <definedName name="bbb.出力" hidden="1">{#N/A,#N/A,FALSE,"本部-店舗通信ﾃｽﾄｽｹｼﾞｭｰﾙ"}</definedName>
    <definedName name="BBBB" localSheetId="4" hidden="1">{#N/A,#N/A,FALSE,"本部-店舗通信ﾃｽﾄｽｹｼﾞｭｰﾙ"}</definedName>
    <definedName name="BBBB" localSheetId="5" hidden="1">{#N/A,#N/A,FALSE,"本部-店舗通信ﾃｽﾄｽｹｼﾞｭｰﾙ"}</definedName>
    <definedName name="BBBB" hidden="1">{#N/A,#N/A,FALSE,"本部-店舗通信ﾃｽﾄｽｹｼﾞｭｰﾙ"}</definedName>
    <definedName name="bcbcb" localSheetId="4" hidden="1">{#N/A,#N/A,FALSE,"本部-店舗通信ﾃｽﾄｽｹｼﾞｭｰﾙ"}</definedName>
    <definedName name="bcbcb" localSheetId="5" hidden="1">{#N/A,#N/A,FALSE,"本部-店舗通信ﾃｽﾄｽｹｼﾞｭｰﾙ"}</definedName>
    <definedName name="bcbcb" hidden="1">{#N/A,#N/A,FALSE,"本部-店舗通信ﾃｽﾄｽｹｼﾞｭｰﾙ"}</definedName>
    <definedName name="cbcncn" localSheetId="4" hidden="1">{#N/A,#N/A,FALSE,"本部-店舗通信ﾃｽﾄｽｹｼﾞｭｰﾙ"}</definedName>
    <definedName name="cbcncn" localSheetId="5" hidden="1">{#N/A,#N/A,FALSE,"本部-店舗通信ﾃｽﾄｽｹｼﾞｭｰﾙ"}</definedName>
    <definedName name="cbcncn" hidden="1">{#N/A,#N/A,FALSE,"本部-店舗通信ﾃｽﾄｽｹｼﾞｭｰﾙ"}</definedName>
    <definedName name="ｃｃｃ" localSheetId="4" hidden="1">{"'一覧'!$A$1:$M$28"}</definedName>
    <definedName name="ｃｃｃ" localSheetId="5" hidden="1">{"'一覧'!$A$1:$M$28"}</definedName>
    <definedName name="ｃｃｃ" hidden="1">{"'一覧'!$A$1:$M$28"}</definedName>
    <definedName name="cccc" localSheetId="4" hidden="1">{#N/A,#N/A,FALSE,"本部-店舗通信ﾃｽﾄｽｹｼﾞｭｰﾙ"}</definedName>
    <definedName name="cccc" localSheetId="5" hidden="1">{#N/A,#N/A,FALSE,"本部-店舗通信ﾃｽﾄｽｹｼﾞｭｰﾙ"}</definedName>
    <definedName name="cccc" hidden="1">{#N/A,#N/A,FALSE,"本部-店舗通信ﾃｽﾄｽｹｼﾞｭｰﾙ"}</definedName>
    <definedName name="ccccc" localSheetId="4" hidden="1">{#N/A,#N/A,FALSE,"本部-店舗通信ﾃｽﾄｽｹｼﾞｭｰﾙ"}</definedName>
    <definedName name="ccccc" localSheetId="5" hidden="1">{#N/A,#N/A,FALSE,"本部-店舗通信ﾃｽﾄｽｹｼﾞｭｰﾙ"}</definedName>
    <definedName name="ccccc" hidden="1">{#N/A,#N/A,FALSE,"本部-店舗通信ﾃｽﾄｽｹｼﾞｭｰﾙ"}</definedName>
    <definedName name="cccccc" localSheetId="4" hidden="1">{#N/A,#N/A,FALSE,"本部-店舗通信ﾃｽﾄｽｹｼﾞｭｰﾙ"}</definedName>
    <definedName name="cccccc" localSheetId="5" hidden="1">{#N/A,#N/A,FALSE,"本部-店舗通信ﾃｽﾄｽｹｼﾞｭｰﾙ"}</definedName>
    <definedName name="cccccc" hidden="1">{#N/A,#N/A,FALSE,"本部-店舗通信ﾃｽﾄｽｹｼﾞｭｰﾙ"}</definedName>
    <definedName name="cxs" localSheetId="4" hidden="1">{"'一覧'!$A$1:$M$28"}</definedName>
    <definedName name="cxs" localSheetId="5" hidden="1">{"'一覧'!$A$1:$M$28"}</definedName>
    <definedName name="cxs" hidden="1">{"'一覧'!$A$1:$M$28"}</definedName>
    <definedName name="ｄ" localSheetId="4" hidden="1">{"'一覧'!$A$1:$M$28"}</definedName>
    <definedName name="ｄ" localSheetId="5" hidden="1">{"'一覧'!$A$1:$M$28"}</definedName>
    <definedName name="ｄ" hidden="1">{"'一覧'!$A$1:$M$28"}</definedName>
    <definedName name="dbチーム" localSheetId="4" hidden="1">{"'フローチャート'!$A$1:$AO$191"}</definedName>
    <definedName name="dbチーム" localSheetId="5" hidden="1">{"'フローチャート'!$A$1:$AO$191"}</definedName>
    <definedName name="dbチーム" hidden="1">{"'フローチャート'!$A$1:$AO$191"}</definedName>
    <definedName name="DD" hidden="1">#REF!</definedName>
    <definedName name="ｄｄｄｄ" localSheetId="4" hidden="1">{"全社（月度）",#N/A,TRUE,"印刷シート";"全社（下期）",#N/A,TRUE,"印刷シート";"全社（累計）",#N/A,TRUE,"印刷シート";"北海道（月度）",#N/A,TRUE,"印刷シート";"北海道（下期）",#N/A,TRUE,"印刷シート";"北海道（累計）",#N/A,TRUE,"印刷シート";"東北（月度）",#N/A,TRUE,"印刷シート";"東北（下期）",#N/A,TRUE,"印刷シート";"東北（累計）",#N/A,TRUE,"印刷シート";"本社（月度）",#N/A,TRUE,"印刷シート本社";"本社（下期）",#N/A,TRUE,"印刷シート本社";"本社（累計）",#N/A,TRUE,"印刷シート本社"}</definedName>
    <definedName name="ｄｄｄｄ" localSheetId="5" hidden="1">{"全社（月度）",#N/A,TRUE,"印刷シート";"全社（下期）",#N/A,TRUE,"印刷シート";"全社（累計）",#N/A,TRUE,"印刷シート";"北海道（月度）",#N/A,TRUE,"印刷シート";"北海道（下期）",#N/A,TRUE,"印刷シート";"北海道（累計）",#N/A,TRUE,"印刷シート";"東北（月度）",#N/A,TRUE,"印刷シート";"東北（下期）",#N/A,TRUE,"印刷シート";"東北（累計）",#N/A,TRUE,"印刷シート";"本社（月度）",#N/A,TRUE,"印刷シート本社";"本社（下期）",#N/A,TRUE,"印刷シート本社";"本社（累計）",#N/A,TRUE,"印刷シート本社"}</definedName>
    <definedName name="ｄｄｄｄ" hidden="1">{"全社（月度）",#N/A,TRUE,"印刷シート";"全社（下期）",#N/A,TRUE,"印刷シート";"全社（累計）",#N/A,TRUE,"印刷シート";"北海道（月度）",#N/A,TRUE,"印刷シート";"北海道（下期）",#N/A,TRUE,"印刷シート";"北海道（累計）",#N/A,TRUE,"印刷シート";"東北（月度）",#N/A,TRUE,"印刷シート";"東北（下期）",#N/A,TRUE,"印刷シート";"東北（累計）",#N/A,TRUE,"印刷シート";"本社（月度）",#N/A,TRUE,"印刷シート本社";"本社（下期）",#N/A,TRUE,"印刷シート本社";"本社（累計）",#N/A,TRUE,"印刷シート本社"}</definedName>
    <definedName name="ｄｄｄｄｄ" localSheetId="4" hidden="1">{"全社（月度）",#N/A,TRUE,"印刷シート";"全社（下期）",#N/A,TRUE,"印刷シート";"全社（累計）",#N/A,TRUE,"印刷シート";"北海道（月度）",#N/A,TRUE,"印刷シート";"北海道（下期）",#N/A,TRUE,"印刷シート";"北海道（累計）",#N/A,TRUE,"印刷シート";"東北（月度）",#N/A,TRUE,"印刷シート";"東北（下期）",#N/A,TRUE,"印刷シート";"東北（累計）",#N/A,TRUE,"印刷シート";"本社（月度）",#N/A,TRUE,"印刷シート本社";"本社（下期）",#N/A,TRUE,"印刷シート本社";"本社（累計）",#N/A,TRUE,"印刷シート本社"}</definedName>
    <definedName name="ｄｄｄｄｄ" localSheetId="5" hidden="1">{"全社（月度）",#N/A,TRUE,"印刷シート";"全社（下期）",#N/A,TRUE,"印刷シート";"全社（累計）",#N/A,TRUE,"印刷シート";"北海道（月度）",#N/A,TRUE,"印刷シート";"北海道（下期）",#N/A,TRUE,"印刷シート";"北海道（累計）",#N/A,TRUE,"印刷シート";"東北（月度）",#N/A,TRUE,"印刷シート";"東北（下期）",#N/A,TRUE,"印刷シート";"東北（累計）",#N/A,TRUE,"印刷シート";"本社（月度）",#N/A,TRUE,"印刷シート本社";"本社（下期）",#N/A,TRUE,"印刷シート本社";"本社（累計）",#N/A,TRUE,"印刷シート本社"}</definedName>
    <definedName name="ｄｄｄｄｄ" hidden="1">{"全社（月度）",#N/A,TRUE,"印刷シート";"全社（下期）",#N/A,TRUE,"印刷シート";"全社（累計）",#N/A,TRUE,"印刷シート";"北海道（月度）",#N/A,TRUE,"印刷シート";"北海道（下期）",#N/A,TRUE,"印刷シート";"北海道（累計）",#N/A,TRUE,"印刷シート";"東北（月度）",#N/A,TRUE,"印刷シート";"東北（下期）",#N/A,TRUE,"印刷シート";"東北（累計）",#N/A,TRUE,"印刷シート";"本社（月度）",#N/A,TRUE,"印刷シート本社";"本社（下期）",#N/A,TRUE,"印刷シート本社";"本社（累計）",#N/A,TRUE,"印刷シート本社"}</definedName>
    <definedName name="djdjdk" localSheetId="4" hidden="1">{#N/A,#N/A,FALSE,"本部-店舗通信ﾃｽﾄｽｹｼﾞｭｰﾙ"}</definedName>
    <definedName name="djdjdk" localSheetId="5" hidden="1">{#N/A,#N/A,FALSE,"本部-店舗通信ﾃｽﾄｽｹｼﾞｭｰﾙ"}</definedName>
    <definedName name="djdjdk" hidden="1">{#N/A,#N/A,FALSE,"本部-店舗通信ﾃｽﾄｽｹｼﾞｭｰﾙ"}</definedName>
    <definedName name="E" hidden="1">#REF!</definedName>
    <definedName name="EV__LASTREFTIME__" hidden="1">39875.4639351852</definedName>
    <definedName name="EWSAFafaerf" localSheetId="4" hidden="1">{#N/A,#N/A,FALSE,"本部-店舗通信ﾃｽﾄｽｹｼﾞｭｰﾙ"}</definedName>
    <definedName name="EWSAFafaerf" localSheetId="5" hidden="1">{#N/A,#N/A,FALSE,"本部-店舗通信ﾃｽﾄｽｹｼﾞｭｰﾙ"}</definedName>
    <definedName name="EWSAFafaerf" hidden="1">{#N/A,#N/A,FALSE,"本部-店舗通信ﾃｽﾄｽｹｼﾞｭｰﾙ"}</definedName>
    <definedName name="F" localSheetId="4" hidden="1">{#N/A,#N/A,FALSE,"本部-店舗通信ﾃｽﾄｽｹｼﾞｭｰﾙ"}</definedName>
    <definedName name="F" localSheetId="5" hidden="1">{#N/A,#N/A,FALSE,"本部-店舗通信ﾃｽﾄｽｹｼﾞｭｰﾙ"}</definedName>
    <definedName name="F" hidden="1">{#N/A,#N/A,FALSE,"本部-店舗通信ﾃｽﾄｽｹｼﾞｭｰﾙ"}</definedName>
    <definedName name="fds" localSheetId="4" hidden="1">{"'画面サンプル'!$B$2:$FG$25"}</definedName>
    <definedName name="fds" localSheetId="5" hidden="1">{"'画面サンプル'!$B$2:$FG$25"}</definedName>
    <definedName name="fds" hidden="1">{"'画面サンプル'!$B$2:$FG$25"}</definedName>
    <definedName name="fff" localSheetId="4" hidden="1">{"サーバ別",#N/A,FALSE,"業務改造"}</definedName>
    <definedName name="fff" localSheetId="5" hidden="1">{"サーバ別",#N/A,FALSE,"業務改造"}</definedName>
    <definedName name="fff" hidden="1">{"サーバ別",#N/A,FALSE,"業務改造"}</definedName>
    <definedName name="fkfldlsl" localSheetId="4" hidden="1">{#N/A,#N/A,FALSE,"本部-店舗通信ﾃｽﾄｽｹｼﾞｭｰﾙ"}</definedName>
    <definedName name="fkfldlsl" localSheetId="5" hidden="1">{#N/A,#N/A,FALSE,"本部-店舗通信ﾃｽﾄｽｹｼﾞｭｰﾙ"}</definedName>
    <definedName name="fkfldlsl" hidden="1">{#N/A,#N/A,FALSE,"本部-店舗通信ﾃｽﾄｽｹｼﾞｭｰﾙ"}</definedName>
    <definedName name="gasgag" localSheetId="4" hidden="1">{#N/A,#N/A,FALSE,"担当"}</definedName>
    <definedName name="gasgag" localSheetId="5" hidden="1">{#N/A,#N/A,FALSE,"担当"}</definedName>
    <definedName name="gasgag" hidden="1">{#N/A,#N/A,FALSE,"担当"}</definedName>
    <definedName name="gds" localSheetId="4" hidden="1">{"'画面サンプル'!$B$2:$FG$25"}</definedName>
    <definedName name="gds" localSheetId="5" hidden="1">{"'画面サンプル'!$B$2:$FG$25"}</definedName>
    <definedName name="gds" hidden="1">{"'画面サンプル'!$B$2:$FG$25"}</definedName>
    <definedName name="gfds" localSheetId="4" hidden="1">{"'画面サンプル'!$B$2:$FG$25"}</definedName>
    <definedName name="gfds" localSheetId="5" hidden="1">{"'画面サンプル'!$B$2:$FG$25"}</definedName>
    <definedName name="gfds" hidden="1">{"'画面サンプル'!$B$2:$FG$25"}</definedName>
    <definedName name="ｇｇｇ" localSheetId="4" hidden="1">{#N/A,#N/A,FALSE,"勤管理原"}</definedName>
    <definedName name="ｇｇｇ" localSheetId="5" hidden="1">{#N/A,#N/A,FALSE,"勤管理原"}</definedName>
    <definedName name="ｇｇｇ" hidden="1">{#N/A,#N/A,FALSE,"勤管理原"}</definedName>
    <definedName name="gggg" localSheetId="4" hidden="1">{"'画面サンプル'!$B$2:$FG$25"}</definedName>
    <definedName name="gggg" localSheetId="5" hidden="1">{"'画面サンプル'!$B$2:$FG$25"}</definedName>
    <definedName name="gggg" hidden="1">{"'画面サンプル'!$B$2:$FG$25"}</definedName>
    <definedName name="ｇｇｇｇｇ" localSheetId="4" hidden="1">{"'9_22HfaS'!$A$10:$H$23"}</definedName>
    <definedName name="ｇｇｇｇｇ" localSheetId="5" hidden="1">{"'9_22HfaS'!$A$10:$H$23"}</definedName>
    <definedName name="ｇｇｇｇｇ" hidden="1">{"'9_22HfaS'!$A$10:$H$23"}</definedName>
    <definedName name="gkdls" localSheetId="4" hidden="1">{#N/A,#N/A,FALSE,"本部-店舗通信ﾃｽﾄｽｹｼﾞｭｰﾙ"}</definedName>
    <definedName name="gkdls" localSheetId="5" hidden="1">{#N/A,#N/A,FALSE,"本部-店舗通信ﾃｽﾄｽｹｼﾞｭｰﾙ"}</definedName>
    <definedName name="gkdls" hidden="1">{#N/A,#N/A,FALSE,"本部-店舗通信ﾃｽﾄｽｹｼﾞｭｰﾙ"}</definedName>
    <definedName name="ＧＷメッセージ一覧" hidden="1">#REF!</definedName>
    <definedName name="hhh" localSheetId="4" hidden="1">{#N/A,#N/A,FALSE,"勤管理原"}</definedName>
    <definedName name="hhh" localSheetId="5" hidden="1">{#N/A,#N/A,FALSE,"勤管理原"}</definedName>
    <definedName name="hhh" hidden="1">{#N/A,#N/A,FALSE,"勤管理原"}</definedName>
    <definedName name="hss" localSheetId="4" hidden="1">{"'画面サンプル'!$B$2:$FG$25"}</definedName>
    <definedName name="hss" localSheetId="5" hidden="1">{"'画面サンプル'!$B$2:$FG$25"}</definedName>
    <definedName name="hss" hidden="1">{"'画面サンプル'!$B$2:$FG$25"}</definedName>
    <definedName name="HTML_CodePage" hidden="1">932</definedName>
    <definedName name="HTML_comtrol" localSheetId="4" hidden="1">{"'フローチャート'!$A$1:$AO$191"}</definedName>
    <definedName name="HTML_comtrol" localSheetId="5" hidden="1">{"'フローチャート'!$A$1:$AO$191"}</definedName>
    <definedName name="HTML_comtrol" hidden="1">{"'フローチャート'!$A$1:$AO$191"}</definedName>
    <definedName name="HTML_Control" localSheetId="4" hidden="1">{"'名古屋'!$A$1:$H$32"}</definedName>
    <definedName name="HTML_Control" localSheetId="5" hidden="1">{"'名古屋'!$A$1:$H$32"}</definedName>
    <definedName name="HTML_Control" hidden="1">{"'名古屋'!$A$1:$H$32"}</definedName>
    <definedName name="HTML_Control2" localSheetId="4" hidden="1">{"'フローチャート'!$A$1:$AO$191"}</definedName>
    <definedName name="HTML_Control2" localSheetId="5" hidden="1">{"'フローチャート'!$A$1:$AO$191"}</definedName>
    <definedName name="HTML_Control2" hidden="1">{"'フローチャート'!$A$1:$AO$191"}</definedName>
    <definedName name="HTML_Description" hidden="1">""</definedName>
    <definedName name="HTML_Email" hidden="1">""</definedName>
    <definedName name="HTML_Header" hidden="1">"名古屋"</definedName>
    <definedName name="HTML_LastUpdate" hidden="1">"00/12/18"</definedName>
    <definedName name="HTML_LineAfter" hidden="1">FALSE</definedName>
    <definedName name="HTML_LineBefore" hidden="1">FALSE</definedName>
    <definedName name="HTML_Name" hidden="1">"事業本部ネットエンジニアリング部"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"C:\WWW\eng\public_html\hnb\kakuhan\MyHTML.htm"</definedName>
    <definedName name="HTML_PathTemplate" hidden="1">"D:\My Documents\Homepage\TEST.HTM"</definedName>
    <definedName name="HTML_Title" hidden="1">"名古屋価格リストV1"</definedName>
    <definedName name="HTML1_1" hidden="1">"[フォーム.xls]用紙!$A$1:$J$198"</definedName>
    <definedName name="HTML1_10" hidden="1">""</definedName>
    <definedName name="HTML1_11" hidden="1">1</definedName>
    <definedName name="HTML1_12" hidden="1">"w:\MyHTML.htm"</definedName>
    <definedName name="HTML1_13" hidden="1">#N/A</definedName>
    <definedName name="HTML1_14" hidden="1">#N/A</definedName>
    <definedName name="HTML1_15" hidden="1">#N/A</definedName>
    <definedName name="HTML1_2" hidden="1">1</definedName>
    <definedName name="HTML1_3" hidden="1">"フォーム.xls"</definedName>
    <definedName name="HTML1_4" hidden="1">"用紙"</definedName>
    <definedName name="HTML1_5" hidden="1">""</definedName>
    <definedName name="HTML1_6" hidden="1">-4146</definedName>
    <definedName name="HTML1_7" hidden="1">-4146</definedName>
    <definedName name="HTML1_8" hidden="1">"98/06/16"</definedName>
    <definedName name="HTML1_9" hidden="1">"(Ｓ開本)市開セ"</definedName>
    <definedName name="HTML10_1" hidden="1">"'[売上実績ホームページ変換用（週間）.xls]週別部門別実績'!$CR$7:$DU$66"</definedName>
    <definedName name="HTML10_10" hidden="1">""</definedName>
    <definedName name="HTML10_11" hidden="1">1</definedName>
    <definedName name="HTML10_12" hidden="1">"Z:\部門別店別売上実績表\1998年47週南関東.htm"</definedName>
    <definedName name="HTML10_2" hidden="1">1</definedName>
    <definedName name="HTML10_3" hidden="1">"週別部門別実績"</definedName>
    <definedName name="HTML10_4" hidden="1">"1998年47週(1/4～1/10)　南関東"</definedName>
    <definedName name="HTML10_5" hidden="1">"売上日計表より　単位:実績は万円,客数は人,比率は％ "</definedName>
    <definedName name="HTML10_6" hidden="1">-4146</definedName>
    <definedName name="HTML10_7" hidden="1">-4146</definedName>
    <definedName name="HTML10_8" hidden="1">"99/01/09"</definedName>
    <definedName name="HTML10_9" hidden="1">"オフィス庶務"</definedName>
    <definedName name="HTML11_1" hidden="1">"'[売上実績ホームページ変換用（週間）.xls]週別部門別実績'!$DV$7:$FL$66"</definedName>
    <definedName name="HTML11_10" hidden="1">""</definedName>
    <definedName name="HTML11_11" hidden="1">1</definedName>
    <definedName name="HTML11_12" hidden="1">"Z:\部門別店別売上実績表\1998年47週エイリア別.htm"</definedName>
    <definedName name="HTML11_2" hidden="1">1</definedName>
    <definedName name="HTML11_3" hidden="1">"週別部門別実績"</definedName>
    <definedName name="HTML11_4" hidden="1">"1998年47週(1/4～1/10)　エイリア別"</definedName>
    <definedName name="HTML11_5" hidden="1">"売上日計表より　単位:実績は万円,客数は人,比率は％ "</definedName>
    <definedName name="HTML11_6" hidden="1">-4146</definedName>
    <definedName name="HTML11_7" hidden="1">-4146</definedName>
    <definedName name="HTML11_8" hidden="1">"99/01/09"</definedName>
    <definedName name="HTML11_9" hidden="1">"オフィス庶務"</definedName>
    <definedName name="HTML12_1" hidden="1">"'[売上実績ホームページ変換用（週間）.xls]平成8年度比較表'!$B$7:$V$54"</definedName>
    <definedName name="HTML12_10" hidden="1">""</definedName>
    <definedName name="HTML12_11" hidden="1">1</definedName>
    <definedName name="HTML12_12" hidden="1">"Z:\部門別店別売上実績表\1998年47週平成8年度比較表.htm"</definedName>
    <definedName name="HTML12_2" hidden="1">1</definedName>
    <definedName name="HTML12_3" hidden="1">"週別部門別実績"</definedName>
    <definedName name="HTML12_4" hidden="1">"平成8年度比較表　47週(1/4～1/10)"</definedName>
    <definedName name="HTML12_5" hidden="1">"既存店は11,12,16,18～21,30,41～53,56,58,60以降を除く店舗 "</definedName>
    <definedName name="HTML12_6" hidden="1">-4146</definedName>
    <definedName name="HTML12_7" hidden="1">-4146</definedName>
    <definedName name="HTML12_8" hidden="1">"99/01/09"</definedName>
    <definedName name="HTML12_9" hidden="1">"オフィス庶務"</definedName>
    <definedName name="HTML13_1" hidden="1">"'[売上実績ホームページ変換用（週累計）.xls]週別部門別実績'!$DL$7:$DS$66"</definedName>
    <definedName name="HTML13_10" hidden="1">""</definedName>
    <definedName name="HTML13_11" hidden="1">1</definedName>
    <definedName name="HTML13_12" hidden="1">"Z:\部門別店別売上実績表\MyHTML.htm"</definedName>
    <definedName name="HTML13_2" hidden="1">1</definedName>
    <definedName name="HTML13_3" hidden="1">"売上実績ホームページ変換用（週累計）.xls"</definedName>
    <definedName name="HTML13_4" hidden="1">"週別部門別実績"</definedName>
    <definedName name="HTML13_5" hidden="1">""</definedName>
    <definedName name="HTML13_6" hidden="1">-4146</definedName>
    <definedName name="HTML13_7" hidden="1">-4146</definedName>
    <definedName name="HTML13_8" hidden="1">"98/07/24"</definedName>
    <definedName name="HTML13_9" hidden="1">"Kazushi Suzuki"</definedName>
    <definedName name="HTML14_1" hidden="1">"'[売上実績ホームページ変換用（週累計）.xls]週別部門別実績'!$DR$7:$DU$66"</definedName>
    <definedName name="HTML14_10" hidden="1">""</definedName>
    <definedName name="HTML14_11" hidden="1">1</definedName>
    <definedName name="HTML14_12" hidden="1">"Z:\部門別店別売上実績表\MyHTML.htm"</definedName>
    <definedName name="HTML14_2" hidden="1">1</definedName>
    <definedName name="HTML14_3" hidden="1">"売上実績ホームページ変換用（週累計）.xls"</definedName>
    <definedName name="HTML14_4" hidden="1">"週別部門別実績"</definedName>
    <definedName name="HTML14_5" hidden="1">""</definedName>
    <definedName name="HTML14_6" hidden="1">-4146</definedName>
    <definedName name="HTML14_7" hidden="1">-4146</definedName>
    <definedName name="HTML14_8" hidden="1">"98/07/24"</definedName>
    <definedName name="HTML14_9" hidden="1">"Kazushi Suzuki"</definedName>
    <definedName name="HTML15_1" hidden="1">"'[売上実績ホームページ変換用（週累計）.xls]週別部門別実績'!$DL$7:$DU$23"</definedName>
    <definedName name="HTML15_10" hidden="1">""</definedName>
    <definedName name="HTML15_11" hidden="1">1</definedName>
    <definedName name="HTML15_12" hidden="1">"Z:\部門別店別売上実績表\MyHTML.htm"</definedName>
    <definedName name="HTML15_2" hidden="1">1</definedName>
    <definedName name="HTML15_3" hidden="1">"売上実績ホームページ変換用（週累計）.xls"</definedName>
    <definedName name="HTML15_4" hidden="1">"週別部門別実績"</definedName>
    <definedName name="HTML15_5" hidden="1">""</definedName>
    <definedName name="HTML15_6" hidden="1">-4146</definedName>
    <definedName name="HTML15_7" hidden="1">-4146</definedName>
    <definedName name="HTML15_8" hidden="1">"98/07/24"</definedName>
    <definedName name="HTML15_9" hidden="1">"Kazushi Suzuki"</definedName>
    <definedName name="HTML16_1" hidden="1">"'[売上実績ホームページ変換用（週累計）.xls]週別部門別実績'!$DL$7:$DU$10"</definedName>
    <definedName name="HTML16_10" hidden="1">""</definedName>
    <definedName name="HTML16_11" hidden="1">1</definedName>
    <definedName name="HTML16_12" hidden="1">"Z:\部門別店別売上実績表\MyHTML.htm"</definedName>
    <definedName name="HTML16_2" hidden="1">1</definedName>
    <definedName name="HTML16_3" hidden="1">"売上実績ホームページ変換用（週累計）.xls"</definedName>
    <definedName name="HTML16_4" hidden="1">"週別部門別実績"</definedName>
    <definedName name="HTML16_5" hidden="1">""</definedName>
    <definedName name="HTML16_6" hidden="1">-4146</definedName>
    <definedName name="HTML16_7" hidden="1">-4146</definedName>
    <definedName name="HTML16_8" hidden="1">"98/07/24"</definedName>
    <definedName name="HTML16_9" hidden="1">"Kazushi Suzuki"</definedName>
    <definedName name="HTML17_1" hidden="1">"'[売上実績ホームページ変換用（週累計）.xls]週別部門別実績'!$DM$7:$DR$9"</definedName>
    <definedName name="HTML17_10" hidden="1">""</definedName>
    <definedName name="HTML17_11" hidden="1">1</definedName>
    <definedName name="HTML17_12" hidden="1">"Z:\部門別店別売上実績表\MyHTML.htm"</definedName>
    <definedName name="HTML17_2" hidden="1">1</definedName>
    <definedName name="HTML17_3" hidden="1">"売上実績ホームページ変換用（週累計）.xls"</definedName>
    <definedName name="HTML17_4" hidden="1">"週別部門別実績"</definedName>
    <definedName name="HTML17_5" hidden="1">""</definedName>
    <definedName name="HTML17_6" hidden="1">-4146</definedName>
    <definedName name="HTML17_7" hidden="1">-4146</definedName>
    <definedName name="HTML17_8" hidden="1">"98/07/24"</definedName>
    <definedName name="HTML17_9" hidden="1">"Kazushi Suzuki"</definedName>
    <definedName name="HTML18_1" hidden="1">"'[売上実績ホームページ変換用（週累計）.xls]週別部門別実績'!$DL$7:$DM$8"</definedName>
    <definedName name="HTML18_10" hidden="1">""</definedName>
    <definedName name="HTML18_11" hidden="1">1</definedName>
    <definedName name="HTML18_12" hidden="1">"Z:\部門別店別売上実績表\MyHTML.htm"</definedName>
    <definedName name="HTML18_2" hidden="1">1</definedName>
    <definedName name="HTML18_3" hidden="1">"売上実績ホームページ変換用（週累計）.xls"</definedName>
    <definedName name="HTML18_4" hidden="1">"週別部門別実績"</definedName>
    <definedName name="HTML18_5" hidden="1">""</definedName>
    <definedName name="HTML18_6" hidden="1">-4146</definedName>
    <definedName name="HTML18_7" hidden="1">-4146</definedName>
    <definedName name="HTML18_8" hidden="1">"98/07/24"</definedName>
    <definedName name="HTML18_9" hidden="1">"Kazushi Suzuki"</definedName>
    <definedName name="HTML19_1" hidden="1">"'[売上実績ホームページ変換用（週累計）.xls]週別部門別実績'!$DM$7:$DR$8"</definedName>
    <definedName name="HTML19_10" hidden="1">""</definedName>
    <definedName name="HTML19_11" hidden="1">1</definedName>
    <definedName name="HTML19_12" hidden="1">"Z:\部門別店別売上実績表\MyHTML.htm"</definedName>
    <definedName name="HTML19_2" hidden="1">1</definedName>
    <definedName name="HTML19_3" hidden="1">"売上実績ホームページ変換用（週累計）.xls"</definedName>
    <definedName name="HTML19_4" hidden="1">"週別部門別実績"</definedName>
    <definedName name="HTML19_5" hidden="1">""</definedName>
    <definedName name="HTML19_6" hidden="1">-4146</definedName>
    <definedName name="HTML19_7" hidden="1">-4146</definedName>
    <definedName name="HTML19_8" hidden="1">"98/07/24"</definedName>
    <definedName name="HTML19_9" hidden="1">"Kazushi Suzuki"</definedName>
    <definedName name="HTML2_1" hidden="1">"[売上実績ホームページ変換用.xls]週別部門別実績!$AI$7:$BM$66"</definedName>
    <definedName name="HTML2_10" hidden="1">""</definedName>
    <definedName name="HTML2_11" hidden="1">1</definedName>
    <definedName name="HTML2_12" hidden="1">"Z:\部門別店別売上実績表\1998年22週道南道北.htm"</definedName>
    <definedName name="HTML2_2" hidden="1">1</definedName>
    <definedName name="HTML2_3" hidden="1">"週別部門別実績"</definedName>
    <definedName name="HTML2_4" hidden="1">"1998年22週　道南道北"</definedName>
    <definedName name="HTML2_5" hidden="1">"売上日計表より　単位：実績は万円、客数は人、比率は%"</definedName>
    <definedName name="HTML2_6" hidden="1">-4146</definedName>
    <definedName name="HTML2_7" hidden="1">-4146</definedName>
    <definedName name="HTML2_8" hidden="1">"98/07/24"</definedName>
    <definedName name="HTML2_9" hidden="1">"オフィス庶務"</definedName>
    <definedName name="HTML20_1" hidden="1">"'[売上実績ホームページ変換用（週累計）.xls]週別部門別実績'!$DR$7:$DS$8"</definedName>
    <definedName name="HTML20_10" hidden="1">""</definedName>
    <definedName name="HTML20_11" hidden="1">1</definedName>
    <definedName name="HTML20_12" hidden="1">"Z:\部門別店別売上実績表\MyHTML.htm"</definedName>
    <definedName name="HTML20_2" hidden="1">1</definedName>
    <definedName name="HTML20_3" hidden="1">"売上実績ホームページ変換用（週累計）.xls"</definedName>
    <definedName name="HTML20_4" hidden="1">"週別部門別実績"</definedName>
    <definedName name="HTML20_5" hidden="1">""</definedName>
    <definedName name="HTML20_6" hidden="1">-4146</definedName>
    <definedName name="HTML20_7" hidden="1">-4146</definedName>
    <definedName name="HTML20_8" hidden="1">"98/07/24"</definedName>
    <definedName name="HTML20_9" hidden="1">"Kazushi Suzuki"</definedName>
    <definedName name="HTML21_1" hidden="1">"'[売上実績ホームページ変換用（週累計）.xls]週別部門別実績'!$DM$7:$DR$7"</definedName>
    <definedName name="HTML21_10" hidden="1">""</definedName>
    <definedName name="HTML21_11" hidden="1">1</definedName>
    <definedName name="HTML21_12" hidden="1">"Z:\部門別店別売上実績表\MyHTML.htm"</definedName>
    <definedName name="HTML21_2" hidden="1">1</definedName>
    <definedName name="HTML21_3" hidden="1">"売上実績ホームページ変換用（週累計）.xls"</definedName>
    <definedName name="HTML21_4" hidden="1">"週別部門別実績"</definedName>
    <definedName name="HTML21_5" hidden="1">""</definedName>
    <definedName name="HTML21_6" hidden="1">-4146</definedName>
    <definedName name="HTML21_7" hidden="1">-4146</definedName>
    <definedName name="HTML21_8" hidden="1">"98/07/24"</definedName>
    <definedName name="HTML21_9" hidden="1">"Kazushi Suzuki"</definedName>
    <definedName name="HTML22_1" hidden="1">"'[売上実績ホームページ変換用（週累計）.xls]週別部門別実績'!$DM$21:$DR$21"</definedName>
    <definedName name="HTML22_10" hidden="1">""</definedName>
    <definedName name="HTML22_11" hidden="1">1</definedName>
    <definedName name="HTML22_12" hidden="1">"Z:\部門別店別売上実績表\MyHTML.htm"</definedName>
    <definedName name="HTML22_2" hidden="1">1</definedName>
    <definedName name="HTML22_3" hidden="1">"売上実績ホームページ変換用（週累計）.xls"</definedName>
    <definedName name="HTML22_4" hidden="1">"週別部門別実績"</definedName>
    <definedName name="HTML22_5" hidden="1">""</definedName>
    <definedName name="HTML22_6" hidden="1">-4146</definedName>
    <definedName name="HTML22_7" hidden="1">-4146</definedName>
    <definedName name="HTML22_8" hidden="1">"98/07/24"</definedName>
    <definedName name="HTML22_9" hidden="1">"Kazushi Suzuki"</definedName>
    <definedName name="HTML23_1" hidden="1">"'[売上実績ホームページ変換用（週累計）.xls]週別部門別実績'!$CR$7:$DQ$66"</definedName>
    <definedName name="HTML23_10" hidden="1">""</definedName>
    <definedName name="HTML23_11" hidden="1">1</definedName>
    <definedName name="HTML23_12" hidden="1">"Z:\部門別店別売上実績表\MyHTML.htm"</definedName>
    <definedName name="HTML23_2" hidden="1">1</definedName>
    <definedName name="HTML23_3" hidden="1">"売上実績ホームページ変換用（週累計）.xls"</definedName>
    <definedName name="HTML23_4" hidden="1">"週別部門別実績"</definedName>
    <definedName name="HTML23_5" hidden="1">""</definedName>
    <definedName name="HTML23_6" hidden="1">-4146</definedName>
    <definedName name="HTML23_7" hidden="1">-4146</definedName>
    <definedName name="HTML23_8" hidden="1">"98/07/24"</definedName>
    <definedName name="HTML23_9" hidden="1">"Kazushi Suzuki"</definedName>
    <definedName name="HTML24_1" hidden="1">"'[売上実績ホームページ変換用（週累計）.xls]週別部門別実績'!$DV$7:$FL$66"</definedName>
    <definedName name="HTML24_10" hidden="1">""</definedName>
    <definedName name="HTML24_11" hidden="1">1</definedName>
    <definedName name="HTML24_12" hidden="1">"Z:\部門別店別売上実績表\1998年47週累計エイリア別.htm"</definedName>
    <definedName name="HTML24_2" hidden="1">1</definedName>
    <definedName name="HTML24_3" hidden="1">"部門別店別売上実績"</definedName>
    <definedName name="HTML24_4" hidden="1">"1998年47週累計(2/16～1/10) エイリア別"</definedName>
    <definedName name="HTML24_5" hidden="1">"売上日計表より　単位:実績は万円,客数は人,比率は％ 既存店２は11,12,18,21,45,53,64,65,66,67,68,69店除く"</definedName>
    <definedName name="HTML24_6" hidden="1">-4146</definedName>
    <definedName name="HTML24_7" hidden="1">-4146</definedName>
    <definedName name="HTML24_8" hidden="1">"99/01/09"</definedName>
    <definedName name="HTML24_9" hidden="1">"オフィス庶務"</definedName>
    <definedName name="HTML25_1" hidden="1">"'[売上実績ホームページ変換用（週累計）.xls]平成8年比較表'!$B$7:$V$54"</definedName>
    <definedName name="HTML25_10" hidden="1">""</definedName>
    <definedName name="HTML25_11" hidden="1">1</definedName>
    <definedName name="HTML25_12" hidden="1">"Z:\部門別店別売上実績表\1998年47週累計平成8年度比較表.htm"</definedName>
    <definedName name="HTML25_2" hidden="1">1</definedName>
    <definedName name="HTML25_3" hidden="1">"部門別店別売上実績"</definedName>
    <definedName name="HTML25_4" hidden="1">"平成8年比較表　47週累計(2/16～1/10)"</definedName>
    <definedName name="HTML25_5" hidden="1">"既存店は11,12,16,18～21,30,41～53,56,58,60以降を除く店舗 "</definedName>
    <definedName name="HTML25_6" hidden="1">-4146</definedName>
    <definedName name="HTML25_7" hidden="1">-4146</definedName>
    <definedName name="HTML25_8" hidden="1">"99/01/09"</definedName>
    <definedName name="HTML25_9" hidden="1">"オフィス庶務"</definedName>
    <definedName name="HTML26_1" hidden="1">"'[売上実績ホームページ変換用（週累計）.xls]週間数値表'!$B$3:$P$65"</definedName>
    <definedName name="HTML26_10" hidden="1">""</definedName>
    <definedName name="HTML26_11" hidden="1">1</definedName>
    <definedName name="HTML26_12" hidden="1">"Z:\週間数値\1998年45週.htm"</definedName>
    <definedName name="HTML26_2" hidden="1">1</definedName>
    <definedName name="HTML26_3" hidden="1">"週間数値"</definedName>
    <definedName name="HTML26_4" hidden="1">"週間数値　45週(12/21～12/27)"</definedName>
    <definedName name="HTML26_5" hidden="1">"単位：万円　　＊既存店は 11,12,18,21,45,56,53,64～69店を除く"</definedName>
    <definedName name="HTML26_6" hidden="1">-4146</definedName>
    <definedName name="HTML26_7" hidden="1">-4146</definedName>
    <definedName name="HTML26_8" hidden="1">"98/12/28"</definedName>
    <definedName name="HTML26_9" hidden="1">"オフィス庶務"</definedName>
    <definedName name="HTML27_1" hidden="1">"'[売上実績ホームページ変換用（週累計）.xls]週間数値表'!$B$3:$P$66"</definedName>
    <definedName name="HTML27_10" hidden="1">""</definedName>
    <definedName name="HTML27_11" hidden="1">1</definedName>
    <definedName name="HTML27_12" hidden="1">"z:\週間数値\1998年32週.htm"</definedName>
    <definedName name="HTML27_2" hidden="1">1</definedName>
    <definedName name="HTML27_3" hidden="1">"週間数値"</definedName>
    <definedName name="HTML27_4" hidden="1">"週間数値　32週(9/21～9/27)"</definedName>
    <definedName name="HTML27_5" hidden="1">"単位：万円　　＊既存店は 11,12,18,21,45,56,53,56,64～69,94店を除く"</definedName>
    <definedName name="HTML27_6" hidden="1">-4146</definedName>
    <definedName name="HTML27_7" hidden="1">-4146</definedName>
    <definedName name="HTML27_8" hidden="1">"98/09/28"</definedName>
    <definedName name="HTML27_9" hidden="1">"オフィス庶務"</definedName>
    <definedName name="HTML28_1" hidden="1">"'[売上実績ホームページ変換用（週累計）.xls]週間数値表'!$B$3:$P$67"</definedName>
    <definedName name="HTML28_10" hidden="1">""</definedName>
    <definedName name="HTML28_11" hidden="1">1</definedName>
    <definedName name="HTML28_12" hidden="1">"z:\週間数値\1998年36週.htm"</definedName>
    <definedName name="HTML28_2" hidden="1">1</definedName>
    <definedName name="HTML28_3" hidden="1">"週間数値"</definedName>
    <definedName name="HTML28_4" hidden="1">"週間数値　36週(10/19～10/25)"</definedName>
    <definedName name="HTML28_5" hidden="1">"単位：万円　　＊既存店は 11,12,18,21,45～53,56,64～69,90,94店を除く "</definedName>
    <definedName name="HTML28_6" hidden="1">-4146</definedName>
    <definedName name="HTML28_7" hidden="1">-4146</definedName>
    <definedName name="HTML28_8" hidden="1">"98/10/26"</definedName>
    <definedName name="HTML28_9" hidden="1">"オフィス庶務"</definedName>
    <definedName name="HTML29_1" hidden="1">"'[売上実績ホームページ変換用（週累計）.xls]週間数値表'!$B$3:$P$68"</definedName>
    <definedName name="HTML29_10" hidden="1">""</definedName>
    <definedName name="HTML29_11" hidden="1">1</definedName>
    <definedName name="HTML29_12" hidden="1">"z:\週間数値\1998年47週.htm"</definedName>
    <definedName name="HTML29_2" hidden="1">1</definedName>
    <definedName name="HTML29_3" hidden="1">"週間数値"</definedName>
    <definedName name="HTML29_4" hidden="1">"週間数値　47週(12/28～1/10)"</definedName>
    <definedName name="HTML29_5" hidden="1">"単位：万円　　＊既存店は 11,12,18,21,45～53,56,64～69,90,94店を除く "</definedName>
    <definedName name="HTML29_6" hidden="1">-4146</definedName>
    <definedName name="HTML29_7" hidden="1">-4146</definedName>
    <definedName name="HTML29_8" hidden="1">"99/01/09"</definedName>
    <definedName name="HTML29_9" hidden="1">"オフィス庶務"</definedName>
    <definedName name="HTML3_1" hidden="1">"[売上実績ホームページ変換用.xls]週別部門別実績!$BN$7:$CQ$66"</definedName>
    <definedName name="HTML3_10" hidden="1">""</definedName>
    <definedName name="HTML3_11" hidden="1">1</definedName>
    <definedName name="HTML3_12" hidden="1">"Z:\部門別店別売上実績表\1998年22週東北北関東.htm"</definedName>
    <definedName name="HTML3_2" hidden="1">1</definedName>
    <definedName name="HTML3_3" hidden="1">"週別部門別実績"</definedName>
    <definedName name="HTML3_4" hidden="1">"1998年22週　東北北関東"</definedName>
    <definedName name="HTML3_5" hidden="1">"売上日計表より　単位：実績は万円、客数は人、比率は%"</definedName>
    <definedName name="HTML3_6" hidden="1">-4146</definedName>
    <definedName name="HTML3_7" hidden="1">-4146</definedName>
    <definedName name="HTML3_8" hidden="1">"98/07/20"</definedName>
    <definedName name="HTML3_9" hidden="1">"オフィス庶務"</definedName>
    <definedName name="HTML4_1" hidden="1">"[売上実績ホームページ変換用.xls]週別部門別実績!$CR$7:$DU$66"</definedName>
    <definedName name="HTML4_10" hidden="1">""</definedName>
    <definedName name="HTML4_11" hidden="1">1</definedName>
    <definedName name="HTML4_12" hidden="1">"Z:\部門別店別売上実績表\1998年22週南関東.htm"</definedName>
    <definedName name="HTML4_2" hidden="1">1</definedName>
    <definedName name="HTML4_3" hidden="1">"週別部門別実績"</definedName>
    <definedName name="HTML4_4" hidden="1">"1998年22週　南関東"</definedName>
    <definedName name="HTML4_5" hidden="1">"売上日計表より　単位：実績は万円、客数は人、比率は%"</definedName>
    <definedName name="HTML4_6" hidden="1">-4146</definedName>
    <definedName name="HTML4_7" hidden="1">-4146</definedName>
    <definedName name="HTML4_8" hidden="1">"98/07/20"</definedName>
    <definedName name="HTML4_9" hidden="1">"オフィス庶務"</definedName>
    <definedName name="HTML5_1" hidden="1">"[売上実績ホームページ変換用.xls]週別部門別実績!$DV$7:$FL$66"</definedName>
    <definedName name="HTML5_10" hidden="1">""</definedName>
    <definedName name="HTML5_11" hidden="1">1</definedName>
    <definedName name="HTML5_12" hidden="1">"Z:\部門別店別売上実績表\1998年22週エイリア別.htm"</definedName>
    <definedName name="HTML5_2" hidden="1">1</definedName>
    <definedName name="HTML5_3" hidden="1">"週別部門別実績"</definedName>
    <definedName name="HTML5_4" hidden="1">"1998年22週　エイリア別"</definedName>
    <definedName name="HTML5_5" hidden="1">"売上日計表より　単位:実績は万円,客数は人,比率は％既存店2は11,12,18,21,45,53,64～69店除く"</definedName>
    <definedName name="HTML5_6" hidden="1">-4146</definedName>
    <definedName name="HTML5_7" hidden="1">-4146</definedName>
    <definedName name="HTML5_8" hidden="1">"98/07/20"</definedName>
    <definedName name="HTML5_9" hidden="1">"オフィス庶務"</definedName>
    <definedName name="HTML6_1" hidden="1">"[売上実績ホームページ変換用.xls]平成8年度比較表!$B$7:$V$54"</definedName>
    <definedName name="HTML6_10" hidden="1">""</definedName>
    <definedName name="HTML6_11" hidden="1">1</definedName>
    <definedName name="HTML6_12" hidden="1">"Z:\部門別店別売上実績表\1998年22週平成8年度比較表.htm"</definedName>
    <definedName name="HTML6_2" hidden="1">1</definedName>
    <definedName name="HTML6_3" hidden="1">"週別部門別実績"</definedName>
    <definedName name="HTML6_4" hidden="1">"平成8年度比較表　22週"</definedName>
    <definedName name="HTML6_5" hidden="1">"既存店は11,12,16,18～21,30,41～53,58,60以降を除く店舗"</definedName>
    <definedName name="HTML6_6" hidden="1">-4146</definedName>
    <definedName name="HTML6_7" hidden="1">-4146</definedName>
    <definedName name="HTML6_8" hidden="1">"98/07/20"</definedName>
    <definedName name="HTML6_9" hidden="1">"オフィス庶務"</definedName>
    <definedName name="HTML7_1" hidden="1">"'[売上実績ホームページ変換用（週間）.xls]週別部門別実績'!$B$7:$AH$66"</definedName>
    <definedName name="HTML7_10" hidden="1">""</definedName>
    <definedName name="HTML7_11" hidden="1">1</definedName>
    <definedName name="HTML7_12" hidden="1">"Z:\部門別店別売上実績表\1998年4週札幌地区.htm"</definedName>
    <definedName name="HTML7_2" hidden="1">1</definedName>
    <definedName name="HTML7_3" hidden="1">"週別部門別実績"</definedName>
    <definedName name="HTML7_4" hidden="1">"1998年47週(1/4～1/10)　札幌地区"</definedName>
    <definedName name="HTML7_5" hidden="1">"売上日計表より　単位:実績は万円,客数は人,比率は％ "</definedName>
    <definedName name="HTML7_6" hidden="1">-4146</definedName>
    <definedName name="HTML7_7" hidden="1">-4146</definedName>
    <definedName name="HTML7_8" hidden="1">"99/01/09"</definedName>
    <definedName name="HTML7_9" hidden="1">"オフィス庶務"</definedName>
    <definedName name="HTML8_1" hidden="1">"'[売上実績ホームページ変換用（週間）.xls]週別部門別実績'!$AI$7:$BM$66"</definedName>
    <definedName name="HTML8_10" hidden="1">""</definedName>
    <definedName name="HTML8_11" hidden="1">1</definedName>
    <definedName name="HTML8_12" hidden="1">"Z:\部門別店別売上実績表\1998年47週道南道北.htm"</definedName>
    <definedName name="HTML8_2" hidden="1">1</definedName>
    <definedName name="HTML8_3" hidden="1">"週別部門別実績"</definedName>
    <definedName name="HTML8_4" hidden="1">"1998年47週(1/4～1/10)　道南道北"</definedName>
    <definedName name="HTML8_5" hidden="1">"売上日計表より　単位:実績は万円,客数は人,比率は％ "</definedName>
    <definedName name="HTML8_6" hidden="1">-4146</definedName>
    <definedName name="HTML8_7" hidden="1">-4146</definedName>
    <definedName name="HTML8_8" hidden="1">"99/01/09"</definedName>
    <definedName name="HTML8_9" hidden="1">"オフィス庶務"</definedName>
    <definedName name="HTML9_1" hidden="1">"'[売上実績ホームページ変換用（週間）.xls]週別部門別実績'!$BN$7:$CQ$66"</definedName>
    <definedName name="HTML9_10" hidden="1">""</definedName>
    <definedName name="HTML9_11" hidden="1">1</definedName>
    <definedName name="HTML9_12" hidden="1">"Z:\部門別店別売上実績表\1998年47週東北北関東.htm"</definedName>
    <definedName name="HTML9_2" hidden="1">1</definedName>
    <definedName name="HTML9_3" hidden="1">"週別部門別実績"</definedName>
    <definedName name="HTML9_4" hidden="1">"1998年47週(1/4～1/10)　東北北関東"</definedName>
    <definedName name="HTML9_5" hidden="1">"売上日計表より　単位:実績は万円,客数は人,比率は％ "</definedName>
    <definedName name="HTML9_6" hidden="1">-4146</definedName>
    <definedName name="HTML9_7" hidden="1">-4146</definedName>
    <definedName name="HTML9_8" hidden="1">"99/01/09"</definedName>
    <definedName name="HTML9_9" hidden="1">"オフィス庶務"</definedName>
    <definedName name="HTMLCount" hidden="1">1</definedName>
    <definedName name="i" localSheetId="4" hidden="1">{#N/A,#N/A,FALSE,"本部-店舗通信ﾃｽﾄｽｹｼﾞｭｰﾙ"}</definedName>
    <definedName name="i" localSheetId="5" hidden="1">{#N/A,#N/A,FALSE,"本部-店舗通信ﾃｽﾄｽｹｼﾞｭｰﾙ"}</definedName>
    <definedName name="i" hidden="1">{#N/A,#N/A,FALSE,"本部-店舗通信ﾃｽﾄｽｹｼﾞｭｰﾙ"}</definedName>
    <definedName name="iii" localSheetId="4" hidden="1">{#N/A,#N/A,FALSE,"勤管理原"}</definedName>
    <definedName name="iii" localSheetId="5" hidden="1">{#N/A,#N/A,FALSE,"勤管理原"}</definedName>
    <definedName name="iii" hidden="1">{#N/A,#N/A,FALSE,"勤管理原"}</definedName>
    <definedName name="in_CustomerName">#REF!</definedName>
    <definedName name="in_DBName">#REF!</definedName>
    <definedName name="in_Division">#REF!</definedName>
    <definedName name="in_FUNC_BI_A">#REF!</definedName>
    <definedName name="in_FUNC_BI_H">#REF!</definedName>
    <definedName name="in_FUNC_BI_L">#REF!</definedName>
    <definedName name="in_FUNC_BO_A">#REF!</definedName>
    <definedName name="in_FUNC_BO_H">#REF!</definedName>
    <definedName name="in_FUNC_BO_L">#REF!</definedName>
    <definedName name="in_FUNC_EIF_A">#REF!</definedName>
    <definedName name="in_FUNC_EIF_H">#REF!</definedName>
    <definedName name="in_FUNC_EIF_L">#REF!</definedName>
    <definedName name="in_FUNC_ILF_A">#REF!</definedName>
    <definedName name="in_FUNC_ILF_H">#REF!</definedName>
    <definedName name="in_FUNC_ILF_L">#REF!</definedName>
    <definedName name="in_FUNC_SI_A">#REF!</definedName>
    <definedName name="in_FUNC_SI_H">#REF!</definedName>
    <definedName name="in_FUNC_SI_L">#REF!</definedName>
    <definedName name="in_FUNC_SO_A">#REF!</definedName>
    <definedName name="in_FUNC_SO_H">#REF!</definedName>
    <definedName name="in_FUNC_SO_L">#REF!</definedName>
    <definedName name="in_FUNC_削除">#REF!</definedName>
    <definedName name="in_FUNC_追加">#REF!</definedName>
    <definedName name="in_FUNC_変更">#REF!</definedName>
    <definedName name="in_LangName_ALL">#REF!</definedName>
    <definedName name="in_LibraryType">#REF!</definedName>
    <definedName name="in_M10P1">#REF!</definedName>
    <definedName name="in_M10P10">#REF!</definedName>
    <definedName name="in_M10P11">#REF!</definedName>
    <definedName name="in_M10P12">#REF!</definedName>
    <definedName name="in_M10P13">#REF!</definedName>
    <definedName name="in_M10P14">#REF!</definedName>
    <definedName name="in_M10P2">#REF!</definedName>
    <definedName name="in_M10P3">#REF!</definedName>
    <definedName name="in_M10P4">#REF!</definedName>
    <definedName name="in_M10P5">#REF!</definedName>
    <definedName name="in_M10P6">#REF!</definedName>
    <definedName name="in_M10P7">#REF!</definedName>
    <definedName name="in_M10P8">#REF!</definedName>
    <definedName name="in_M10P9">#REF!</definedName>
    <definedName name="in_M11P1">#REF!</definedName>
    <definedName name="in_M11P10">#REF!</definedName>
    <definedName name="in_M11P11">#REF!</definedName>
    <definedName name="in_M11P12">#REF!</definedName>
    <definedName name="in_M11P13">#REF!</definedName>
    <definedName name="in_M11P14">#REF!</definedName>
    <definedName name="in_M11P2">#REF!</definedName>
    <definedName name="in_M11P3">#REF!</definedName>
    <definedName name="in_M11P4">#REF!</definedName>
    <definedName name="in_M11P5">#REF!</definedName>
    <definedName name="in_M11P6">#REF!</definedName>
    <definedName name="in_M11P7">#REF!</definedName>
    <definedName name="in_M11P8">#REF!</definedName>
    <definedName name="in_M11P9">#REF!</definedName>
    <definedName name="in_M12P1">#REF!</definedName>
    <definedName name="in_M12P10">#REF!</definedName>
    <definedName name="in_M12P11">#REF!</definedName>
    <definedName name="in_M12P12">#REF!</definedName>
    <definedName name="in_M12P13">#REF!</definedName>
    <definedName name="in_M12P14">#REF!</definedName>
    <definedName name="in_M12P2">#REF!</definedName>
    <definedName name="in_M12P3">#REF!</definedName>
    <definedName name="in_M12P4">#REF!</definedName>
    <definedName name="in_M12P5">#REF!</definedName>
    <definedName name="in_M12P6">#REF!</definedName>
    <definedName name="in_M12P7">#REF!</definedName>
    <definedName name="in_M12P8">#REF!</definedName>
    <definedName name="in_M12P9">#REF!</definedName>
    <definedName name="in_M1P1">#REF!</definedName>
    <definedName name="in_M1P10">#REF!</definedName>
    <definedName name="in_M1P11">#REF!</definedName>
    <definedName name="in_M1P12">#REF!</definedName>
    <definedName name="in_M1P13">#REF!</definedName>
    <definedName name="in_M1P14">#REF!</definedName>
    <definedName name="in_M1P2">#REF!</definedName>
    <definedName name="in_M1P3">#REF!</definedName>
    <definedName name="in_M1P4">#REF!</definedName>
    <definedName name="in_M1P5">#REF!</definedName>
    <definedName name="in_M1P6">#REF!</definedName>
    <definedName name="in_M1P7">#REF!</definedName>
    <definedName name="in_M1P8">#REF!</definedName>
    <definedName name="in_M1P9">#REF!</definedName>
    <definedName name="in_M2P1">#REF!</definedName>
    <definedName name="in_M2P10">#REF!</definedName>
    <definedName name="in_M2P11">#REF!</definedName>
    <definedName name="in_M2P12">#REF!</definedName>
    <definedName name="in_M2P13">#REF!</definedName>
    <definedName name="in_M2P14">#REF!</definedName>
    <definedName name="in_M2P2">#REF!</definedName>
    <definedName name="in_M2P3">#REF!</definedName>
    <definedName name="in_M2P4">#REF!</definedName>
    <definedName name="in_M2P5">#REF!</definedName>
    <definedName name="in_M2P6">#REF!</definedName>
    <definedName name="in_M2P7">#REF!</definedName>
    <definedName name="in_M2P8">#REF!</definedName>
    <definedName name="in_M2P9">#REF!</definedName>
    <definedName name="in_M3P1">#REF!</definedName>
    <definedName name="in_M3P10">#REF!</definedName>
    <definedName name="in_M3P11">#REF!</definedName>
    <definedName name="in_M3P12">#REF!</definedName>
    <definedName name="in_M3P13">#REF!</definedName>
    <definedName name="in_M3P14">#REF!</definedName>
    <definedName name="in_M3P2">#REF!</definedName>
    <definedName name="in_M3P3">#REF!</definedName>
    <definedName name="in_M3P4">#REF!</definedName>
    <definedName name="in_M3P5">#REF!</definedName>
    <definedName name="in_M3P6">#REF!</definedName>
    <definedName name="in_M3P7">#REF!</definedName>
    <definedName name="in_M3P8">#REF!</definedName>
    <definedName name="in_M3P9">#REF!</definedName>
    <definedName name="in_M4P1">#REF!</definedName>
    <definedName name="in_M4P10">#REF!</definedName>
    <definedName name="in_M4P11">#REF!</definedName>
    <definedName name="in_M4P12">#REF!</definedName>
    <definedName name="in_M4P13">#REF!</definedName>
    <definedName name="in_M4P14">#REF!</definedName>
    <definedName name="in_M4P2">#REF!</definedName>
    <definedName name="in_M4P3">#REF!</definedName>
    <definedName name="in_M4P4">#REF!</definedName>
    <definedName name="in_M4P5">#REF!</definedName>
    <definedName name="in_M4P6">#REF!</definedName>
    <definedName name="in_M4P7">#REF!</definedName>
    <definedName name="in_M4P8">#REF!</definedName>
    <definedName name="in_M4P9">#REF!</definedName>
    <definedName name="in_M5P1">#REF!</definedName>
    <definedName name="in_M5P10">#REF!</definedName>
    <definedName name="in_M5P11">#REF!</definedName>
    <definedName name="in_M5P12">#REF!</definedName>
    <definedName name="in_M5P13">#REF!</definedName>
    <definedName name="in_M5P14">#REF!</definedName>
    <definedName name="in_M5P2">#REF!</definedName>
    <definedName name="in_M5P3">#REF!</definedName>
    <definedName name="in_M5P4">#REF!</definedName>
    <definedName name="in_M5P5">#REF!</definedName>
    <definedName name="in_M5P6">#REF!</definedName>
    <definedName name="in_M5P7">#REF!</definedName>
    <definedName name="in_M5P8">#REF!</definedName>
    <definedName name="in_M5P9">#REF!</definedName>
    <definedName name="in_M6P1">#REF!</definedName>
    <definedName name="in_M6P10">#REF!</definedName>
    <definedName name="in_M6P11">#REF!</definedName>
    <definedName name="in_M6P12">#REF!</definedName>
    <definedName name="in_M6P13">#REF!</definedName>
    <definedName name="in_M6P14">#REF!</definedName>
    <definedName name="in_M6P2">#REF!</definedName>
    <definedName name="in_M6P3">#REF!</definedName>
    <definedName name="in_M6P4">#REF!</definedName>
    <definedName name="in_M6P5">#REF!</definedName>
    <definedName name="in_M6P6">#REF!</definedName>
    <definedName name="in_M6P7">#REF!</definedName>
    <definedName name="in_M6P8">#REF!</definedName>
    <definedName name="in_M6P9">#REF!</definedName>
    <definedName name="in_M7P1">#REF!</definedName>
    <definedName name="in_M7P10">#REF!</definedName>
    <definedName name="in_M7P11">#REF!</definedName>
    <definedName name="in_M7P12">#REF!</definedName>
    <definedName name="in_M7P13">#REF!</definedName>
    <definedName name="in_M7P14">#REF!</definedName>
    <definedName name="in_M7P2">#REF!</definedName>
    <definedName name="in_M7P3">#REF!</definedName>
    <definedName name="in_M7P4">#REF!</definedName>
    <definedName name="in_M7P5">#REF!</definedName>
    <definedName name="in_M7P6">#REF!</definedName>
    <definedName name="in_M7P7">#REF!</definedName>
    <definedName name="in_M7P8">#REF!</definedName>
    <definedName name="in_M7P9">#REF!</definedName>
    <definedName name="in_M8P1">#REF!</definedName>
    <definedName name="in_M8P10">#REF!</definedName>
    <definedName name="in_M8P11">#REF!</definedName>
    <definedName name="in_M8P12">#REF!</definedName>
    <definedName name="in_M8P13">#REF!</definedName>
    <definedName name="in_M8P14">#REF!</definedName>
    <definedName name="in_M8P2">#REF!</definedName>
    <definedName name="in_M8P3">#REF!</definedName>
    <definedName name="in_M8P4">#REF!</definedName>
    <definedName name="in_M8P5">#REF!</definedName>
    <definedName name="in_M8P6">#REF!</definedName>
    <definedName name="in_M8P7">#REF!</definedName>
    <definedName name="in_M8P8">#REF!</definedName>
    <definedName name="in_M8P9">#REF!</definedName>
    <definedName name="in_M9P1">#REF!</definedName>
    <definedName name="in_M9P10">#REF!</definedName>
    <definedName name="in_M9P11">#REF!</definedName>
    <definedName name="in_M9P12">#REF!</definedName>
    <definedName name="in_M9P13">#REF!</definedName>
    <definedName name="in_M9P14">#REF!</definedName>
    <definedName name="in_M9P2">#REF!</definedName>
    <definedName name="in_M9P3">#REF!</definedName>
    <definedName name="in_M9P4">#REF!</definedName>
    <definedName name="in_M9P5">#REF!</definedName>
    <definedName name="in_M9P6">#REF!</definedName>
    <definedName name="in_M9P7">#REF!</definedName>
    <definedName name="in_M9P8">#REF!</definedName>
    <definedName name="in_M9P9">#REF!</definedName>
    <definedName name="in_OSName">#REF!</definedName>
    <definedName name="in_Phase1">#REF!</definedName>
    <definedName name="in_Phase10">#REF!</definedName>
    <definedName name="in_Phase11">#REF!</definedName>
    <definedName name="in_Phase12">#REF!</definedName>
    <definedName name="in_Phase2">#REF!</definedName>
    <definedName name="in_Phase3">#REF!</definedName>
    <definedName name="in_Phase4">#REF!</definedName>
    <definedName name="in_Phase5">#REF!</definedName>
    <definedName name="in_Phase6">#REF!</definedName>
    <definedName name="in_Phase7">#REF!</definedName>
    <definedName name="in_Phase8">#REF!</definedName>
    <definedName name="in_Phase9">#REF!</definedName>
    <definedName name="in_PL_No">#REF!</definedName>
    <definedName name="in_Platform">#REF!</definedName>
    <definedName name="in_ProjCode">#REF!</definedName>
    <definedName name="in_ProjLeader">#REF!</definedName>
    <definedName name="in_ProjName">#REF!</definedName>
    <definedName name="in_SummaryDate">#REF!</definedName>
    <definedName name="in_SystemName">#REF!</definedName>
    <definedName name="in_SystemOutline1">#REF!</definedName>
    <definedName name="in_SystemOutline2">#REF!</definedName>
    <definedName name="in_SystemOutline3">#REF!</definedName>
    <definedName name="in_SystemOutline4">#REF!</definedName>
    <definedName name="in_SystemOutline5">#REF!</definedName>
    <definedName name="in_SystemOutline6">#REF!</definedName>
    <definedName name="in_SystemPurpose1">#REF!</definedName>
    <definedName name="in_SystemPurpose2">#REF!</definedName>
    <definedName name="in_SystemPurpose3">#REF!</definedName>
    <definedName name="in_SystemPurpose4">#REF!</definedName>
    <definedName name="in_SystemPurpose5">#REF!</definedName>
    <definedName name="in_SystemPurpose6">#REF!</definedName>
    <definedName name="in_ﾌﾟﾛﾊﾟｰ工数">#REF!</definedName>
    <definedName name="in_マシン">#REF!</definedName>
    <definedName name="in_会議接待">#REF!</definedName>
    <definedName name="in_開始日">#REF!</definedName>
    <definedName name="in_開始日2">#REF!</definedName>
    <definedName name="in_開発期間">#REF!</definedName>
    <definedName name="in_外注工数">#REF!</definedName>
    <definedName name="in_外注費">#REF!</definedName>
    <definedName name="in_間接">#REF!</definedName>
    <definedName name="in_機密保持">#REF!</definedName>
    <definedName name="in_記入日">#REF!</definedName>
    <definedName name="in_業種">#REF!</definedName>
    <definedName name="in_検収期間">#REF!</definedName>
    <definedName name="in_検収日">#REF!</definedName>
    <definedName name="in_権利帰属_Mode">#REF!</definedName>
    <definedName name="in_種別名称1">#REF!</definedName>
    <definedName name="in_種別名称10">#REF!</definedName>
    <definedName name="in_種別名称11">#REF!</definedName>
    <definedName name="in_種別名称12">#REF!</definedName>
    <definedName name="in_種別名称13">#REF!</definedName>
    <definedName name="in_種別名称14">#REF!</definedName>
    <definedName name="in_種別名称15">#REF!</definedName>
    <definedName name="in_種別名称16">#REF!</definedName>
    <definedName name="in_種別名称17">#REF!</definedName>
    <definedName name="in_種別名称18">#REF!</definedName>
    <definedName name="in_種別名称19">#REF!</definedName>
    <definedName name="in_種別名称2">#REF!</definedName>
    <definedName name="in_種別名称20">#REF!</definedName>
    <definedName name="in_種別名称21">#REF!</definedName>
    <definedName name="in_種別名称22">#REF!</definedName>
    <definedName name="in_種別名称23">#REF!</definedName>
    <definedName name="in_種別名称24">#REF!</definedName>
    <definedName name="in_種別名称25">#REF!</definedName>
    <definedName name="in_種別名称26">#REF!</definedName>
    <definedName name="in_種別名称3">#REF!</definedName>
    <definedName name="in_種別名称4">#REF!</definedName>
    <definedName name="in_種別名称5">#REF!</definedName>
    <definedName name="in_種別名称6">#REF!</definedName>
    <definedName name="in_種別名称7">#REF!</definedName>
    <definedName name="in_種別名称8">#REF!</definedName>
    <definedName name="in_種別名称9">#REF!</definedName>
    <definedName name="in_終了日">#REF!</definedName>
    <definedName name="in_人件費">#REF!</definedName>
    <definedName name="in_生産性指標_FP">#REF!</definedName>
    <definedName name="in_他経費">#REF!</definedName>
    <definedName name="in_納入形態1">#REF!</definedName>
    <definedName name="in_納入形態10">#REF!</definedName>
    <definedName name="in_納入形態11">#REF!</definedName>
    <definedName name="in_納入形態12">#REF!</definedName>
    <definedName name="in_納入形態13">#REF!</definedName>
    <definedName name="in_納入形態14">#REF!</definedName>
    <definedName name="in_納入形態15">#REF!</definedName>
    <definedName name="in_納入形態16">#REF!</definedName>
    <definedName name="in_納入形態17">#REF!</definedName>
    <definedName name="in_納入形態18">#REF!</definedName>
    <definedName name="in_納入形態19">#REF!</definedName>
    <definedName name="in_納入形態2">#REF!</definedName>
    <definedName name="in_納入形態20">#REF!</definedName>
    <definedName name="in_納入形態21">#REF!</definedName>
    <definedName name="in_納入形態22">#REF!</definedName>
    <definedName name="in_納入形態23">#REF!</definedName>
    <definedName name="in_納入形態24">#REF!</definedName>
    <definedName name="in_納入形態25">#REF!</definedName>
    <definedName name="in_納入形態26">#REF!</definedName>
    <definedName name="in_納入形態3">#REF!</definedName>
    <definedName name="in_納入形態4">#REF!</definedName>
    <definedName name="in_納入形態5">#REF!</definedName>
    <definedName name="in_納入形態6">#REF!</definedName>
    <definedName name="in_納入形態7">#REF!</definedName>
    <definedName name="in_納入形態8">#REF!</definedName>
    <definedName name="in_納入形態9">#REF!</definedName>
    <definedName name="in_売上">#REF!</definedName>
    <definedName name="in_賠償額">#REF!</definedName>
    <definedName name="in_物販">#REF!</definedName>
    <definedName name="in_方法論">#REF!</definedName>
    <definedName name="in_本社引当">#REF!</definedName>
    <definedName name="in_旅費">#REF!</definedName>
    <definedName name="in_寮費">#REF!</definedName>
    <definedName name="in_瑕疵担保">#REF!</definedName>
    <definedName name="j" localSheetId="4" hidden="1">{#N/A,#N/A,FALSE,"本部-店舗通信ﾃｽﾄｽｹｼﾞｭｰﾙ"}</definedName>
    <definedName name="j" localSheetId="5" hidden="1">{#N/A,#N/A,FALSE,"本部-店舗通信ﾃｽﾄｽｹｼﾞｭｰﾙ"}</definedName>
    <definedName name="j" hidden="1">{#N/A,#N/A,FALSE,"本部-店舗通信ﾃｽﾄｽｹｼﾞｭｰﾙ"}</definedName>
    <definedName name="JFKDJAKFEJKLAFJ" hidden="1">#REF!</definedName>
    <definedName name="jjj" localSheetId="4" hidden="1">{#N/A,#N/A,FALSE,"勤管理原"}</definedName>
    <definedName name="jjj" localSheetId="5" hidden="1">{#N/A,#N/A,FALSE,"勤管理原"}</definedName>
    <definedName name="jjj" hidden="1">{#N/A,#N/A,FALSE,"勤管理原"}</definedName>
    <definedName name="ＪＰ１" localSheetId="4" hidden="1">{"'名古屋'!$A$1:$H$32"}</definedName>
    <definedName name="ＪＰ１" localSheetId="5" hidden="1">{"'名古屋'!$A$1:$H$32"}</definedName>
    <definedName name="ＪＰ１" hidden="1">{"'名古屋'!$A$1:$H$32"}</definedName>
    <definedName name="ｋ" hidden="1">#REF!</definedName>
    <definedName name="kakakakak" localSheetId="4" hidden="1">{"Master Status",#N/A,FALSE,"Master"}</definedName>
    <definedName name="kakakakak" localSheetId="5" hidden="1">{"Master Status",#N/A,FALSE,"Master"}</definedName>
    <definedName name="kakakakak" hidden="1">{"Master Status",#N/A,FALSE,"Master"}</definedName>
    <definedName name="ｋｋｋ" localSheetId="4" hidden="1">{"Ｍ系全体",#N/A,FALSE,"業務改造";"サーバ別",#N/A,FALSE,"業務改造"}</definedName>
    <definedName name="ｋｋｋ" localSheetId="5" hidden="1">{"Ｍ系全体",#N/A,FALSE,"業務改造";"サーバ別",#N/A,FALSE,"業務改造"}</definedName>
    <definedName name="ｋｋｋ" hidden="1">{"Ｍ系全体",#N/A,FALSE,"業務改造";"サーバ別",#N/A,FALSE,"業務改造"}</definedName>
    <definedName name="ｌ" hidden="1">#REF!</definedName>
    <definedName name="lll" localSheetId="4" hidden="1">{#N/A,#N/A,FALSE,"勤管理原"}</definedName>
    <definedName name="lll" localSheetId="5" hidden="1">{#N/A,#N/A,FALSE,"勤管理原"}</definedName>
    <definedName name="lll" hidden="1">{#N/A,#N/A,FALSE,"勤管理原"}</definedName>
    <definedName name="llllll" hidden="1">#REF!</definedName>
    <definedName name="LOCAL_MYSQL_DATE_FORMAT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ＬＯＯＫ" hidden="1">"Z:\人時実績表\1998年22週人時実績予算前年実績比較表.htm"</definedName>
    <definedName name="ｍ" hidden="1">#REF!</definedName>
    <definedName name="ＭＭＭ" localSheetId="4" hidden="1">{#N/A,#N/A,FALSE,"担当"}</definedName>
    <definedName name="ＭＭＭ" localSheetId="5" hidden="1">{#N/A,#N/A,FALSE,"担当"}</definedName>
    <definedName name="ＭＭＭ" hidden="1">{#N/A,#N/A,FALSE,"担当"}</definedName>
    <definedName name="ｎ" hidden="1">#REF!</definedName>
    <definedName name="NII" localSheetId="4" hidden="1">{#N/A,#N/A,FALSE,"勤管理原"}</definedName>
    <definedName name="NII" localSheetId="5" hidden="1">{#N/A,#N/A,FALSE,"勤管理原"}</definedName>
    <definedName name="NII" hidden="1">{#N/A,#N/A,FALSE,"勤管理原"}</definedName>
    <definedName name="nn" localSheetId="4" hidden="1">{"'画面サンプル'!$B$2:$FG$25"}</definedName>
    <definedName name="nn" localSheetId="5" hidden="1">{"'画面サンプル'!$B$2:$FG$25"}</definedName>
    <definedName name="nn" hidden="1">{"'画面サンプル'!$B$2:$FG$25"}</definedName>
    <definedName name="ooo" hidden="1">"人時実績表"</definedName>
    <definedName name="ｐ" hidden="1">#REF!</definedName>
    <definedName name="_xlnm.Print_Area" localSheetId="3">'テスト仕様（No.1)'!$A$1:$AD$48</definedName>
    <definedName name="_xlnm.Print_Area" localSheetId="6">'テスト仕様（No.2）'!$A$1:$AK$41</definedName>
    <definedName name="_xlnm.Print_Area" localSheetId="0">表紙!$A$1:$AW$28</definedName>
    <definedName name="Print_Title">#REF!</definedName>
    <definedName name="_xlnm.Print_Titles" localSheetId="2">テスト一覧!$1:$1</definedName>
    <definedName name="_xlnm.Print_Titles" localSheetId="3">'テスト仕様（No.1)'!$1:$1</definedName>
    <definedName name="_xlnm.Print_Titles" localSheetId="6">'テスト仕様（No.2）'!$1:$1</definedName>
    <definedName name="_xlnm.Print_Titles" localSheetId="1">改訂履歴!$1:$1</definedName>
    <definedName name="_xlnm.Print_Titles" localSheetId="0">表紙!$1:$13</definedName>
    <definedName name="ｑ" hidden="1">#REF!</definedName>
    <definedName name="qq" localSheetId="4" hidden="1">{"'画面サンプル'!$B$2:$FG$25"}</definedName>
    <definedName name="qq" localSheetId="5" hidden="1">{"'画面サンプル'!$B$2:$FG$25"}</definedName>
    <definedName name="qq" hidden="1">{"'画面サンプル'!$B$2:$FG$25"}</definedName>
    <definedName name="qqq" localSheetId="4" hidden="1">{"'一覧'!$A$1:$M$28"}</definedName>
    <definedName name="qqq" localSheetId="5" hidden="1">{"'一覧'!$A$1:$M$28"}</definedName>
    <definedName name="qqq" hidden="1">{"'一覧'!$A$1:$M$28"}</definedName>
    <definedName name="qqqq" localSheetId="4" hidden="1">{"'画面サンプル'!$B$2:$FG$25"}</definedName>
    <definedName name="qqqq" localSheetId="5" hidden="1">{"'画面サンプル'!$B$2:$FG$25"}</definedName>
    <definedName name="qqqq" hidden="1">{"'画面サンプル'!$B$2:$FG$25"}</definedName>
    <definedName name="rg" localSheetId="4" hidden="1">{"'画面サンプル'!$B$2:$FG$25"}</definedName>
    <definedName name="rg" localSheetId="5" hidden="1">{"'画面サンプル'!$B$2:$FG$25"}</definedName>
    <definedName name="rg" hidden="1">{"'画面サンプル'!$B$2:$FG$25"}</definedName>
    <definedName name="ｓ" hidden="1">#REF!</definedName>
    <definedName name="sadsad" localSheetId="4" hidden="1">{"'画面サンプル'!$B$2:$FG$25"}</definedName>
    <definedName name="sadsad" localSheetId="5" hidden="1">{"'画面サンプル'!$B$2:$FG$25"}</definedName>
    <definedName name="sadsad" hidden="1">{"'画面サンプル'!$B$2:$FG$25"}</definedName>
    <definedName name="saz" localSheetId="4" hidden="1">{"'画面サンプル'!$B$2:$FG$25"}</definedName>
    <definedName name="saz" localSheetId="5" hidden="1">{"'画面サンプル'!$B$2:$FG$25"}</definedName>
    <definedName name="saz" hidden="1">{"'画面サンプル'!$B$2:$FG$25"}</definedName>
    <definedName name="sfadsfsdfsdf" localSheetId="4" hidden="1">{"'一覧'!$A$1:$M$28"}</definedName>
    <definedName name="sfadsfsdfsdf" localSheetId="5" hidden="1">{"'一覧'!$A$1:$M$28"}</definedName>
    <definedName name="sfadsfsdfsdf" hidden="1">{"'一覧'!$A$1:$M$28"}</definedName>
    <definedName name="sfs" localSheetId="4" hidden="1">{"'画面サンプル'!$B$2:$FG$25"}</definedName>
    <definedName name="sfs" localSheetId="5" hidden="1">{"'画面サンプル'!$B$2:$FG$25"}</definedName>
    <definedName name="sfs" hidden="1">{"'画面サンプル'!$B$2:$FG$25"}</definedName>
    <definedName name="sjsjsks" localSheetId="4" hidden="1">{#N/A,#N/A,FALSE,"本部-店舗通信ﾃｽﾄｽｹｼﾞｭｰﾙ"}</definedName>
    <definedName name="sjsjsks" localSheetId="5" hidden="1">{#N/A,#N/A,FALSE,"本部-店舗通信ﾃｽﾄｽｹｼﾞｭｰﾙ"}</definedName>
    <definedName name="sjsjsks" hidden="1">{#N/A,#N/A,FALSE,"本部-店舗通信ﾃｽﾄｽｹｼﾞｭｰﾙ"}</definedName>
    <definedName name="sksksaaaa" localSheetId="4" hidden="1">{#N/A,#N/A,FALSE,"本部-店舗通信ﾃｽﾄｽｹｼﾞｭｰﾙ"}</definedName>
    <definedName name="sksksaaaa" localSheetId="5" hidden="1">{#N/A,#N/A,FALSE,"本部-店舗通信ﾃｽﾄｽｹｼﾞｭｰﾙ"}</definedName>
    <definedName name="sksksaaaa" hidden="1">{#N/A,#N/A,FALSE,"本部-店舗通信ﾃｽﾄｽｹｼﾞｭｰﾙ"}</definedName>
    <definedName name="ｓｓｓ" localSheetId="4" hidden="1">{"'一覧'!$A$1:$M$28"}</definedName>
    <definedName name="ｓｓｓ" localSheetId="5" hidden="1">{"'一覧'!$A$1:$M$28"}</definedName>
    <definedName name="ｓｓｓ" hidden="1">{"'一覧'!$A$1:$M$28"}</definedName>
    <definedName name="ｓｓｓｓ" localSheetId="4" hidden="1">{"'一覧'!$A$1:$M$28"}</definedName>
    <definedName name="ｓｓｓｓ" localSheetId="5" hidden="1">{"'一覧'!$A$1:$M$28"}</definedName>
    <definedName name="ｓｓｓｓ" hidden="1">{"'一覧'!$A$1:$M$28"}</definedName>
    <definedName name="TextRefCopyRangeCount" hidden="1">2</definedName>
    <definedName name="tmp" localSheetId="4" hidden="1">{"'機能ID・決済データ区分･電文ID対応表'!$A$1:$K$178"}</definedName>
    <definedName name="tmp" localSheetId="5" hidden="1">{"'機能ID・決済データ区分･電文ID対応表'!$A$1:$K$178"}</definedName>
    <definedName name="tmp" hidden="1">{"'機能ID・決済データ区分･電文ID対応表'!$A$1:$K$178"}</definedName>
    <definedName name="u" hidden="1">#REF!</definedName>
    <definedName name="Ｖ" localSheetId="4" hidden="1">{"ID名称",#N/A,FALSE,"進捗状況";"prog予定",#N/A,FALSE,"進捗状況"}</definedName>
    <definedName name="Ｖ" localSheetId="5" hidden="1">{"ID名称",#N/A,FALSE,"進捗状況";"prog予定",#N/A,FALSE,"進捗状況"}</definedName>
    <definedName name="Ｖ" hidden="1">{"ID名称",#N/A,FALSE,"進捗状況";"prog予定",#N/A,FALSE,"進捗状況"}</definedName>
    <definedName name="ＶＶＶＶＶＶＶＶＶ" localSheetId="4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ＶＶＶＶＶＶＶＶＶ" localSheetId="5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ＶＶＶＶＶＶＶＶＶ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ｗ" hidden="1">#REF!</definedName>
    <definedName name="WG" hidden="1">"98/11/30"</definedName>
    <definedName name="wqwq" localSheetId="4" hidden="1">{"'画面サンプル'!$B$2:$FG$25"}</definedName>
    <definedName name="wqwq" localSheetId="5" hidden="1">{"'画面サンプル'!$B$2:$FG$25"}</definedName>
    <definedName name="wqwq" hidden="1">{"'画面サンプル'!$B$2:$FG$25"}</definedName>
    <definedName name="wrn.confshet." localSheetId="4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wrn.confshet." localSheetId="5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wrn.confshet.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wrn.HCDN_全印刷." localSheetId="4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HCDN_全印刷." localSheetId="5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HCDN_全印刷.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Master._.Status." localSheetId="4" hidden="1">{"Master Status",#N/A,FALSE,"Master"}</definedName>
    <definedName name="wrn.Master._.Status." localSheetId="5" hidden="1">{"Master Status",#N/A,FALSE,"Master"}</definedName>
    <definedName name="wrn.Master._.Status." hidden="1">{"Master Status",#N/A,FALSE,"Master"}</definedName>
    <definedName name="wrn.Ｍ系全体." localSheetId="4" hidden="1">{"Ｍ系全体",#N/A,FALSE,"業務改造"}</definedName>
    <definedName name="wrn.Ｍ系全体." localSheetId="5" hidden="1">{"Ｍ系全体",#N/A,FALSE,"業務改造"}</definedName>
    <definedName name="wrn.Ｍ系全体." hidden="1">{"Ｍ系全体",#N/A,FALSE,"業務改造"}</definedName>
    <definedName name="wrn.pg小日程." localSheetId="4" hidden="1">{"ID名称",#N/A,FALSE,"進捗状況";"prog予定",#N/A,FALSE,"進捗状況"}</definedName>
    <definedName name="wrn.pg小日程." localSheetId="5" hidden="1">{"ID名称",#N/A,FALSE,"進捗状況";"prog予定",#N/A,FALSE,"進捗状況"}</definedName>
    <definedName name="wrn.pg小日程." hidden="1">{"ID名称",#N/A,FALSE,"進捗状況";"prog予定",#N/A,FALSE,"進捗状況"}</definedName>
    <definedName name="wrn.Test3." localSheetId="4" hidden="1">{#N/A,#N/A,FALSE,"Master";"test3",#N/A,FALSE,"Master"}</definedName>
    <definedName name="wrn.Test3." localSheetId="5" hidden="1">{#N/A,#N/A,FALSE,"Master";"test3",#N/A,FALSE,"Master"}</definedName>
    <definedName name="wrn.Test3." hidden="1">{#N/A,#N/A,FALSE,"Master";"test3",#N/A,FALSE,"Master"}</definedName>
    <definedName name="wrn.test4." localSheetId="4" hidden="1">{"test4 hide",#N/A,FALSE,"Master"}</definedName>
    <definedName name="wrn.test4." localSheetId="5" hidden="1">{"test4 hide",#N/A,FALSE,"Master"}</definedName>
    <definedName name="wrn.test4." hidden="1">{"test4 hide",#N/A,FALSE,"Master"}</definedName>
    <definedName name="wrn.TOYO." localSheetId="4" hidden="1">{#N/A,#N/A,FALSE,"Windows";#N/A,#N/A,FALSE,"Windows (2)";#N/A,#N/A,FALSE,"Windows(Note)";#N/A,#N/A,FALSE,"Windows(Note) (2)";#N/A,#N/A,FALSE,"Macintosh";#N/A,#N/A,FALSE,"Macintosh (2)"}</definedName>
    <definedName name="wrn.TOYO." localSheetId="5" hidden="1">{#N/A,#N/A,FALSE,"Windows";#N/A,#N/A,FALSE,"Windows (2)";#N/A,#N/A,FALSE,"Windows(Note)";#N/A,#N/A,FALSE,"Windows(Note) (2)";#N/A,#N/A,FALSE,"Macintosh";#N/A,#N/A,FALSE,"Macintosh (2)"}</definedName>
    <definedName name="wrn.TOYO." hidden="1">{#N/A,#N/A,FALSE,"Windows";#N/A,#N/A,FALSE,"Windows (2)";#N/A,#N/A,FALSE,"Windows(Note)";#N/A,#N/A,FALSE,"Windows(Note) (2)";#N/A,#N/A,FALSE,"Macintosh";#N/A,#N/A,FALSE,"Macintosh (2)"}</definedName>
    <definedName name="wrn.サーバ別." localSheetId="4" hidden="1">{"サーバ別",#N/A,FALSE,"業務改造"}</definedName>
    <definedName name="wrn.サーバ別." localSheetId="5" hidden="1">{"サーバ別",#N/A,FALSE,"業務改造"}</definedName>
    <definedName name="wrn.サーバ別." hidden="1">{"サーバ別",#N/A,FALSE,"業務改造"}</definedName>
    <definedName name="wrn.下期." localSheetId="4" hidden="1">{"全社（月度）",#N/A,TRUE,"印刷シート";"全社（下期）",#N/A,TRUE,"印刷シート";"全社（累計）",#N/A,TRUE,"印刷シート";"北海道（月度）",#N/A,TRUE,"印刷シート";"北海道（下期）",#N/A,TRUE,"印刷シート";"北海道（累計）",#N/A,TRUE,"印刷シート";"東北（月度）",#N/A,TRUE,"印刷シート";"東北（下期）",#N/A,TRUE,"印刷シート";"東北（累計）",#N/A,TRUE,"印刷シート";"本社（月度）",#N/A,TRUE,"印刷シート本社";"本社（下期）",#N/A,TRUE,"印刷シート本社";"本社（累計）",#N/A,TRUE,"印刷シート本社"}</definedName>
    <definedName name="wrn.下期." localSheetId="5" hidden="1">{"全社（月度）",#N/A,TRUE,"印刷シート";"全社（下期）",#N/A,TRUE,"印刷シート";"全社（累計）",#N/A,TRUE,"印刷シート";"北海道（月度）",#N/A,TRUE,"印刷シート";"北海道（下期）",#N/A,TRUE,"印刷シート";"北海道（累計）",#N/A,TRUE,"印刷シート";"東北（月度）",#N/A,TRUE,"印刷シート";"東北（下期）",#N/A,TRUE,"印刷シート";"東北（累計）",#N/A,TRUE,"印刷シート";"本社（月度）",#N/A,TRUE,"印刷シート本社";"本社（下期）",#N/A,TRUE,"印刷シート本社";"本社（累計）",#N/A,TRUE,"印刷シート本社"}</definedName>
    <definedName name="wrn.下期." hidden="1">{"全社（月度）",#N/A,TRUE,"印刷シート";"全社（下期）",#N/A,TRUE,"印刷シート";"全社（累計）",#N/A,TRUE,"印刷シート";"北海道（月度）",#N/A,TRUE,"印刷シート";"北海道（下期）",#N/A,TRUE,"印刷シート";"北海道（累計）",#N/A,TRUE,"印刷シート";"東北（月度）",#N/A,TRUE,"印刷シート";"東北（下期）",#N/A,TRUE,"印刷シート";"東北（累計）",#N/A,TRUE,"印刷シート";"本社（月度）",#N/A,TRUE,"印刷シート本社";"本社（下期）",#N/A,TRUE,"印刷シート本社";"本社（累計）",#N/A,TRUE,"印刷シート本社"}</definedName>
    <definedName name="wrn.勤務状況管理表." localSheetId="4" hidden="1">{#N/A,#N/A,FALSE,"勤管理原"}</definedName>
    <definedName name="wrn.勤務状況管理表." localSheetId="5" hidden="1">{#N/A,#N/A,FALSE,"勤管理原"}</definedName>
    <definedName name="wrn.勤務状況管理表." hidden="1">{#N/A,#N/A,FALSE,"勤管理原"}</definedName>
    <definedName name="wrn.構成ｶﾞｲﾄﾞ_全印刷." localSheetId="4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構成ｶﾞｲﾄﾞ_全印刷." localSheetId="5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構成ｶﾞｲﾄﾞ_全印刷.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仕様書表紙." localSheetId="4" hidden="1">{#N/A,#N/A,FALSE,"表一覧"}</definedName>
    <definedName name="wrn.仕様書表紙." localSheetId="5" hidden="1">{#N/A,#N/A,FALSE,"表一覧"}</definedName>
    <definedName name="wrn.仕様書表紙." hidden="1">{#N/A,#N/A,FALSE,"表一覧"}</definedName>
    <definedName name="wrn.出力." localSheetId="4" hidden="1">{#N/A,#N/A,FALSE,"本部-店舗通信ﾃｽﾄｽｹｼﾞｭｰﾙ"}</definedName>
    <definedName name="wrn.出力." localSheetId="5" hidden="1">{#N/A,#N/A,FALSE,"本部-店舗通信ﾃｽﾄｽｹｼﾞｭｰﾙ"}</definedName>
    <definedName name="wrn.出力." hidden="1">{#N/A,#N/A,FALSE,"本部-店舗通信ﾃｽﾄｽｹｼﾞｭｰﾙ"}</definedName>
    <definedName name="wrn.全体andサーバ別." localSheetId="4" hidden="1">{"Ｍ系全体",#N/A,FALSE,"業務改造";"サーバ別",#N/A,FALSE,"業務改造"}</definedName>
    <definedName name="wrn.全体andサーバ別." localSheetId="5" hidden="1">{"Ｍ系全体",#N/A,FALSE,"業務改造";"サーバ別",#N/A,FALSE,"業務改造"}</definedName>
    <definedName name="wrn.全体andサーバ別." hidden="1">{"Ｍ系全体",#N/A,FALSE,"業務改造";"サーバ別",#N/A,FALSE,"業務改造"}</definedName>
    <definedName name="wrn.全体and担当." localSheetId="4" hidden="1">{"Ｍ系全体",#N/A,FALSE,"業務改造";"担当",#N/A,FALSE,"担当"}</definedName>
    <definedName name="wrn.全体and担当." localSheetId="5" hidden="1">{"Ｍ系全体",#N/A,FALSE,"業務改造";"担当",#N/A,FALSE,"担当"}</definedName>
    <definedName name="wrn.全体and担当." hidden="1">{"Ｍ系全体",#N/A,FALSE,"業務改造";"担当",#N/A,FALSE,"担当"}</definedName>
    <definedName name="wrn.担当." localSheetId="4" hidden="1">{#N/A,#N/A,FALSE,"担当"}</definedName>
    <definedName name="wrn.担当." localSheetId="5" hidden="1">{#N/A,#N/A,FALSE,"担当"}</definedName>
    <definedName name="wrn.担当." hidden="1">{#N/A,#N/A,FALSE,"担当"}</definedName>
    <definedName name="wrn.付録Ｃ＿センタルータ実装表." localSheetId="4" hidden="1">{#N/A,#N/A,TRUE,"ＮＰ２００実装図 (1)";#N/A,#N/A,TRUE,"ＮＰ２００実装図 (2)";#N/A,#N/A,TRUE,"ＮＰ２００実装図 (3)";#N/A,#N/A,TRUE,"ＮＰ２００実装図 (4)";#N/A,#N/A,TRUE,"ＮＰ２００実装図 (5)";#N/A,#N/A,TRUE,"ＮＰ２００実装図 (6)";#N/A,#N/A,TRUE,"ＮＰ２００実装図 (7)";#N/A,#N/A,TRUE,"ＮＰ２００実装図 (8)";#N/A,#N/A,TRUE,"ＮＰ２００実装図 (9)";#N/A,#N/A,TRUE,"ＮＰ２００実装図 (10)";#N/A,#N/A,TRUE,"ＮＰ２００実装図 (11)";#N/A,#N/A,TRUE,"ＮＰ２００実装図 (12)";#N/A,#N/A,TRUE,"ＮＰ２００実装図 (13)";#N/A,#N/A,TRUE,"ＮＰ２００実装図 (14)";#N/A,#N/A,TRUE,"ＮＰ２００実装図 (15)";#N/A,#N/A,TRUE,"ＮＰ２００実装図 (16)";#N/A,#N/A,TRUE,"ＮＰ２００実装図 (17)";#N/A,#N/A,TRUE,"ＮＰ２００実装図 (18)";#N/A,#N/A,TRUE,"ＮＰ２００実装図 (19)";#N/A,#N/A,TRUE,"ＮＰ２００実装図 (20)";#N/A,#N/A,TRUE,"ＮＰ２００実装図 (21)";#N/A,#N/A,TRUE,"ＮＰ２００実装図 (22)"}</definedName>
    <definedName name="wrn.付録Ｃ＿センタルータ実装表." localSheetId="5" hidden="1">{#N/A,#N/A,TRUE,"ＮＰ２００実装図 (1)";#N/A,#N/A,TRUE,"ＮＰ２００実装図 (2)";#N/A,#N/A,TRUE,"ＮＰ２００実装図 (3)";#N/A,#N/A,TRUE,"ＮＰ２００実装図 (4)";#N/A,#N/A,TRUE,"ＮＰ２００実装図 (5)";#N/A,#N/A,TRUE,"ＮＰ２００実装図 (6)";#N/A,#N/A,TRUE,"ＮＰ２００実装図 (7)";#N/A,#N/A,TRUE,"ＮＰ２００実装図 (8)";#N/A,#N/A,TRUE,"ＮＰ２００実装図 (9)";#N/A,#N/A,TRUE,"ＮＰ２００実装図 (10)";#N/A,#N/A,TRUE,"ＮＰ２００実装図 (11)";#N/A,#N/A,TRUE,"ＮＰ２００実装図 (12)";#N/A,#N/A,TRUE,"ＮＰ２００実装図 (13)";#N/A,#N/A,TRUE,"ＮＰ２００実装図 (14)";#N/A,#N/A,TRUE,"ＮＰ２００実装図 (15)";#N/A,#N/A,TRUE,"ＮＰ２００実装図 (16)";#N/A,#N/A,TRUE,"ＮＰ２００実装図 (17)";#N/A,#N/A,TRUE,"ＮＰ２００実装図 (18)";#N/A,#N/A,TRUE,"ＮＰ２００実装図 (19)";#N/A,#N/A,TRUE,"ＮＰ２００実装図 (20)";#N/A,#N/A,TRUE,"ＮＰ２００実装図 (21)";#N/A,#N/A,TRUE,"ＮＰ２００実装図 (22)"}</definedName>
    <definedName name="wrn.付録Ｃ＿センタルータ実装表." hidden="1">{#N/A,#N/A,TRUE,"ＮＰ２００実装図 (1)";#N/A,#N/A,TRUE,"ＮＰ２００実装図 (2)";#N/A,#N/A,TRUE,"ＮＰ２００実装図 (3)";#N/A,#N/A,TRUE,"ＮＰ２００実装図 (4)";#N/A,#N/A,TRUE,"ＮＰ２００実装図 (5)";#N/A,#N/A,TRUE,"ＮＰ２００実装図 (6)";#N/A,#N/A,TRUE,"ＮＰ２００実装図 (7)";#N/A,#N/A,TRUE,"ＮＰ２００実装図 (8)";#N/A,#N/A,TRUE,"ＮＰ２００実装図 (9)";#N/A,#N/A,TRUE,"ＮＰ２００実装図 (10)";#N/A,#N/A,TRUE,"ＮＰ２００実装図 (11)";#N/A,#N/A,TRUE,"ＮＰ２００実装図 (12)";#N/A,#N/A,TRUE,"ＮＰ２００実装図 (13)";#N/A,#N/A,TRUE,"ＮＰ２００実装図 (14)";#N/A,#N/A,TRUE,"ＮＰ２００実装図 (15)";#N/A,#N/A,TRUE,"ＮＰ２００実装図 (16)";#N/A,#N/A,TRUE,"ＮＰ２００実装図 (17)";#N/A,#N/A,TRUE,"ＮＰ２００実装図 (18)";#N/A,#N/A,TRUE,"ＮＰ２００実装図 (19)";#N/A,#N/A,TRUE,"ＮＰ２００実装図 (20)";#N/A,#N/A,TRUE,"ＮＰ２００実装図 (21)";#N/A,#N/A,TRUE,"ＮＰ２００実装図 (22)"}</definedName>
    <definedName name="WW" hidden="1">#REF!</definedName>
    <definedName name="ｗくぇ" hidden="1">#REF!</definedName>
    <definedName name="x" localSheetId="4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x" localSheetId="5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x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ｘｘ" localSheetId="4" hidden="1">{"'画面サンプル'!$B$2:$FG$25"}</definedName>
    <definedName name="ｘｘ" localSheetId="5" hidden="1">{"'画面サンプル'!$B$2:$FG$25"}</definedName>
    <definedName name="ｘｘ" hidden="1">{"'画面サンプル'!$B$2:$FG$25"}</definedName>
    <definedName name="ｘｘｘ" localSheetId="4" hidden="1">{"'一覧'!$A$1:$M$28"}</definedName>
    <definedName name="ｘｘｘ" localSheetId="5" hidden="1">{"'一覧'!$A$1:$M$28"}</definedName>
    <definedName name="ｘｘｘ" hidden="1">{"'一覧'!$A$1:$M$28"}</definedName>
    <definedName name="xxxx" localSheetId="4" hidden="1">{"'画面サンプル'!$B$2:$FG$25"}</definedName>
    <definedName name="xxxx" localSheetId="5" hidden="1">{"'画面サンプル'!$B$2:$FG$25"}</definedName>
    <definedName name="xxxx" hidden="1">{"'画面サンプル'!$B$2:$FG$25"}</definedName>
    <definedName name="ｙ" localSheetId="4" hidden="1">{"'一覧'!$A$1:$M$28"}</definedName>
    <definedName name="ｙ" localSheetId="5" hidden="1">{"'一覧'!$A$1:$M$28"}</definedName>
    <definedName name="ｙ" hidden="1">{"'一覧'!$A$1:$M$28"}</definedName>
    <definedName name="yy" localSheetId="4" hidden="1">{"'画面サンプル'!$B$2:$FG$25"}</definedName>
    <definedName name="yy" localSheetId="5" hidden="1">{"'画面サンプル'!$B$2:$FG$25"}</definedName>
    <definedName name="yy" hidden="1">{"'画面サンプル'!$B$2:$FG$25"}</definedName>
    <definedName name="ｚ" hidden="1">#REF!</definedName>
    <definedName name="Z_13280533_4350_11D5_A867_000629D8585B_.wvu.Cols" hidden="1">#REF!</definedName>
    <definedName name="Z_13280533_4350_11D5_A867_000629D8585B_.wvu.PrintArea" hidden="1">#REF!</definedName>
    <definedName name="Z_13280533_4350_11D5_A867_000629D8585B_.wvu.PrintTitles" hidden="1">#REF!</definedName>
    <definedName name="Z_13280533_4350_11D5_A867_000629D8585B_.wvu.Rows" hidden="1">#REF!</definedName>
    <definedName name="Z_329F42EF_1372_49DB_9395_B68A6144D405_.wvu.Rows" hidden="1">#REF!</definedName>
    <definedName name="Z_77B6E5FF_1EF6_43E1_BC63_A8BA1B75C743_.wvu.PrintArea" hidden="1">#REF!</definedName>
    <definedName name="Z_CFF2D478_9A65_11D9_B9D7_0002A554EBFC_.wvu.FilterData" hidden="1">#REF!</definedName>
    <definedName name="Z_CFF2D478_9A65_11D9_B9D7_0002A554EBFC_.wvu.PrintTitles" hidden="1">#REF!</definedName>
    <definedName name="Z_ECECA9E9_429F_11D5_96AC_0006291EBE14_.wvu.Cols" hidden="1">#REF!</definedName>
    <definedName name="Z_ECECA9E9_429F_11D5_96AC_0006291EBE14_.wvu.PrintArea" hidden="1">#REF!</definedName>
    <definedName name="Z_ECECA9E9_429F_11D5_96AC_0006291EBE14_.wvu.PrintTitles" hidden="1">#REF!</definedName>
    <definedName name="Z_ECECA9E9_429F_11D5_96AC_0006291EBE14_.wvu.Rows" hidden="1">#REF!</definedName>
    <definedName name="Z_ECECAA35_429F_11D5_96AC_0006291EBE14_.wvu.Cols" hidden="1">#REF!</definedName>
    <definedName name="Z_ECECAA35_429F_11D5_96AC_0006291EBE14_.wvu.PrintArea" hidden="1">#REF!</definedName>
    <definedName name="Z_ECECAA35_429F_11D5_96AC_0006291EBE14_.wvu.PrintTitles" hidden="1">#REF!</definedName>
    <definedName name="Z_ECECAA35_429F_11D5_96AC_0006291EBE14_.wvu.Rows" hidden="1">#REF!</definedName>
    <definedName name="ｚｚ" hidden="1">#REF!</definedName>
    <definedName name="ｚｚｚ" localSheetId="4" hidden="1">{#N/A,#N/A,FALSE,"Windows";#N/A,#N/A,FALSE,"Windows (2)";#N/A,#N/A,FALSE,"Windows(Note)";#N/A,#N/A,FALSE,"Windows(Note) (2)";#N/A,#N/A,FALSE,"Macintosh";#N/A,#N/A,FALSE,"Macintosh (2)"}</definedName>
    <definedName name="ｚｚｚ" localSheetId="5" hidden="1">{#N/A,#N/A,FALSE,"Windows";#N/A,#N/A,FALSE,"Windows (2)";#N/A,#N/A,FALSE,"Windows(Note)";#N/A,#N/A,FALSE,"Windows(Note) (2)";#N/A,#N/A,FALSE,"Macintosh";#N/A,#N/A,FALSE,"Macintosh (2)"}</definedName>
    <definedName name="ｚｚｚ" hidden="1">{#N/A,#N/A,FALSE,"Windows";#N/A,#N/A,FALSE,"Windows (2)";#N/A,#N/A,FALSE,"Windows(Note)";#N/A,#N/A,FALSE,"Windows(Note) (2)";#N/A,#N/A,FALSE,"Macintosh";#N/A,#N/A,FALSE,"Macintosh (2)"}</definedName>
    <definedName name="zzzzzzz" localSheetId="4" hidden="1">{#N/A,#N/A,FALSE,"本部-店舗通信ﾃｽﾄｽｹｼﾞｭｰﾙ"}</definedName>
    <definedName name="zzzzzzz" localSheetId="5" hidden="1">{#N/A,#N/A,FALSE,"本部-店舗通信ﾃｽﾄｽｹｼﾞｭｰﾙ"}</definedName>
    <definedName name="zzzzzzz" hidden="1">{#N/A,#N/A,FALSE,"本部-店舗通信ﾃｽﾄｽｹｼﾞｭｰﾙ"}</definedName>
    <definedName name="あ" localSheetId="4" hidden="1">{"'機能ID・決済データ区分･電文ID対応表'!$A$1:$K$178"}</definedName>
    <definedName name="あ" localSheetId="5" hidden="1">{"'機能ID・決済データ区分･電文ID対応表'!$A$1:$K$178"}</definedName>
    <definedName name="あ" hidden="1">{"'機能ID・決済データ区分･電文ID対応表'!$A$1:$K$178"}</definedName>
    <definedName name="あ２３" localSheetId="4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あ２３" localSheetId="5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あ２３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あｓｄ" localSheetId="4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あｓｄ" localSheetId="5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あｓｄ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ああaaa" localSheetId="4" hidden="1">{"'一覧'!$A$1:$M$28"}</definedName>
    <definedName name="ああaaa" localSheetId="5" hidden="1">{"'一覧'!$A$1:$M$28"}</definedName>
    <definedName name="ああaaa" hidden="1">{"'一覧'!$A$1:$M$28"}</definedName>
    <definedName name="ｱｱｱ" localSheetId="4" hidden="1">{#N/A,#N/A,FALSE,"本部-店舗通信ﾃｽﾄｽｹｼﾞｭｰﾙ"}</definedName>
    <definedName name="ｱｱｱ" localSheetId="5" hidden="1">{#N/A,#N/A,FALSE,"本部-店舗通信ﾃｽﾄｽｹｼﾞｭｰﾙ"}</definedName>
    <definedName name="ｱｱｱ" hidden="1">{#N/A,#N/A,FALSE,"本部-店舗通信ﾃｽﾄｽｹｼﾞｭｰﾙ"}</definedName>
    <definedName name="あああ" localSheetId="4" hidden="1">{"'一覧'!$A$1:$M$28"}</definedName>
    <definedName name="あああ" localSheetId="5" hidden="1">{"'一覧'!$A$1:$M$28"}</definedName>
    <definedName name="あああ" hidden="1">{"'一覧'!$A$1:$M$28"}</definedName>
    <definedName name="あああｑｑｑｑ" localSheetId="4" hidden="1">{#N/A,#N/A,FALSE,"勤管理原"}</definedName>
    <definedName name="あああｑｑｑｑ" localSheetId="5" hidden="1">{#N/A,#N/A,FALSE,"勤管理原"}</definedName>
    <definedName name="あああｑｑｑｑ" hidden="1">{#N/A,#N/A,FALSE,"勤管理原"}</definedName>
    <definedName name="ああああ" localSheetId="4" hidden="1">{"'一覧'!$A$1:$M$28"}</definedName>
    <definedName name="ああああ" localSheetId="5" hidden="1">{"'一覧'!$A$1:$M$28"}</definedName>
    <definedName name="ああああ" hidden="1">{"'一覧'!$A$1:$M$28"}</definedName>
    <definedName name="あああああ" localSheetId="4" hidden="1">{"全社（月度）",#N/A,TRUE,"印刷シート";"全社（下期）",#N/A,TRUE,"印刷シート";"全社（累計）",#N/A,TRUE,"印刷シート";"北海道（月度）",#N/A,TRUE,"印刷シート";"北海道（下期）",#N/A,TRUE,"印刷シート";"北海道（累計）",#N/A,TRUE,"印刷シート";"東北（月度）",#N/A,TRUE,"印刷シート";"東北（下期）",#N/A,TRUE,"印刷シート";"東北（累計）",#N/A,TRUE,"印刷シート";"本社（月度）",#N/A,TRUE,"印刷シート本社";"本社（下期）",#N/A,TRUE,"印刷シート本社";"本社（累計）",#N/A,TRUE,"印刷シート本社"}</definedName>
    <definedName name="あああああ" localSheetId="5" hidden="1">{"全社（月度）",#N/A,TRUE,"印刷シート";"全社（下期）",#N/A,TRUE,"印刷シート";"全社（累計）",#N/A,TRUE,"印刷シート";"北海道（月度）",#N/A,TRUE,"印刷シート";"北海道（下期）",#N/A,TRUE,"印刷シート";"北海道（累計）",#N/A,TRUE,"印刷シート";"東北（月度）",#N/A,TRUE,"印刷シート";"東北（下期）",#N/A,TRUE,"印刷シート";"東北（累計）",#N/A,TRUE,"印刷シート";"本社（月度）",#N/A,TRUE,"印刷シート本社";"本社（下期）",#N/A,TRUE,"印刷シート本社";"本社（累計）",#N/A,TRUE,"印刷シート本社"}</definedName>
    <definedName name="あああああ" hidden="1">{"全社（月度）",#N/A,TRUE,"印刷シート";"全社（下期）",#N/A,TRUE,"印刷シート";"全社（累計）",#N/A,TRUE,"印刷シート";"北海道（月度）",#N/A,TRUE,"印刷シート";"北海道（下期）",#N/A,TRUE,"印刷シート";"北海道（累計）",#N/A,TRUE,"印刷シート";"東北（月度）",#N/A,TRUE,"印刷シート";"東北（下期）",#N/A,TRUE,"印刷シート";"東北（累計）",#N/A,TRUE,"印刷シート";"本社（月度）",#N/A,TRUE,"印刷シート本社";"本社（下期）",#N/A,TRUE,"印刷シート本社";"本社（累計）",#N/A,TRUE,"印刷シート本社"}</definedName>
    <definedName name="ああああああああ" localSheetId="4" hidden="1">{#N/A,#N/A,FALSE,"本部-店舗通信ﾃｽﾄｽｹｼﾞｭｰﾙ"}</definedName>
    <definedName name="ああああああああ" localSheetId="5" hidden="1">{#N/A,#N/A,FALSE,"本部-店舗通信ﾃｽﾄｽｹｼﾞｭｰﾙ"}</definedName>
    <definedName name="ああああああああ" hidden="1">{#N/A,#N/A,FALSE,"本部-店舗通信ﾃｽﾄｽｹｼﾞｭｰﾙ"}</definedName>
    <definedName name="あああああああああ" localSheetId="4" hidden="1">{"'名古屋'!$A$1:$H$32"}</definedName>
    <definedName name="あああああああああ" localSheetId="5" hidden="1">{"'名古屋'!$A$1:$H$32"}</definedName>
    <definedName name="あああああああああ" hidden="1">{"'名古屋'!$A$1:$H$32"}</definedName>
    <definedName name="あいう" localSheetId="4" hidden="1">{#N/A,#N/A,FALSE,"勤管理原"}</definedName>
    <definedName name="あいう" localSheetId="5" hidden="1">{#N/A,#N/A,FALSE,"勤管理原"}</definedName>
    <definedName name="あいう" hidden="1">{#N/A,#N/A,FALSE,"勤管理原"}</definedName>
    <definedName name="あさ" localSheetId="4" hidden="1">{#N/A,#N/A,FALSE,"本部-店舗通信ﾃｽﾄｽｹｼﾞｭｰﾙ"}</definedName>
    <definedName name="あさ" localSheetId="5" hidden="1">{#N/A,#N/A,FALSE,"本部-店舗通信ﾃｽﾄｽｹｼﾞｭｰﾙ"}</definedName>
    <definedName name="あさ" hidden="1">{#N/A,#N/A,FALSE,"本部-店舗通信ﾃｽﾄｽｹｼﾞｭｰﾙ"}</definedName>
    <definedName name="あさｄ" localSheetId="4" hidden="1">{#N/A,#N/A,FALSE,"本部-店舗通信ﾃｽﾄｽｹｼﾞｭｰﾙ"}</definedName>
    <definedName name="あさｄ" localSheetId="5" hidden="1">{#N/A,#N/A,FALSE,"本部-店舗通信ﾃｽﾄｽｹｼﾞｭｰﾙ"}</definedName>
    <definedName name="あさｄ" hidden="1">{#N/A,#N/A,FALSE,"本部-店舗通信ﾃｽﾄｽｹｼﾞｭｰﾙ"}</definedName>
    <definedName name="い" hidden="1">#REF!</definedName>
    <definedName name="いいいい" localSheetId="4" hidden="1">{"'一覧'!$A$1:$M$28"}</definedName>
    <definedName name="いいいい" localSheetId="5" hidden="1">{"'一覧'!$A$1:$M$28"}</definedName>
    <definedName name="いいいい" hidden="1">{"'一覧'!$A$1:$M$28"}</definedName>
    <definedName name="いいいいいいいいいいいいいいい" localSheetId="4" hidden="1">{#N/A,#N/A,FALSE,"本部-店舗通信ﾃｽﾄｽｹｼﾞｭｰﾙ"}</definedName>
    <definedName name="いいいいいいいいいいいいいいい" localSheetId="5" hidden="1">{#N/A,#N/A,FALSE,"本部-店舗通信ﾃｽﾄｽｹｼﾞｭｰﾙ"}</definedName>
    <definedName name="いいいいいいいいいいいいいいい" hidden="1">{#N/A,#N/A,FALSE,"本部-店舗通信ﾃｽﾄｽｹｼﾞｭｰﾙ"}</definedName>
    <definedName name="ウｇｋｃｇｋグｘｃ" localSheetId="4" hidden="1">{#N/A,#N/A,FALSE,"本部-店舗通信ﾃｽﾄｽｹｼﾞｭｰﾙ"}</definedName>
    <definedName name="ウｇｋｃｇｋグｘｃ" localSheetId="5" hidden="1">{#N/A,#N/A,FALSE,"本部-店舗通信ﾃｽﾄｽｹｼﾞｭｰﾙ"}</definedName>
    <definedName name="ウｇｋｃｇｋグｘｃ" hidden="1">{#N/A,#N/A,FALSE,"本部-店舗通信ﾃｽﾄｽｹｼﾞｭｰﾙ"}</definedName>
    <definedName name="えええ" localSheetId="4" hidden="1">{"'画面サンプル'!$B$2:$FG$25"}</definedName>
    <definedName name="えええ" localSheetId="5" hidden="1">{"'画面サンプル'!$B$2:$FG$25"}</definedName>
    <definedName name="えええ" hidden="1">{"'画面サンプル'!$B$2:$FG$25"}</definedName>
    <definedName name="ええええ" localSheetId="4" hidden="1">{"'画面サンプル'!$B$2:$FG$25"}</definedName>
    <definedName name="ええええ" localSheetId="5" hidden="1">{"'画面サンプル'!$B$2:$FG$25"}</definedName>
    <definedName name="ええええ" hidden="1">{"'画面サンプル'!$B$2:$FG$25"}</definedName>
    <definedName name="おおおおおお" localSheetId="4" hidden="1">{"'名古屋'!$A$1:$H$32"}</definedName>
    <definedName name="おおおおおお" localSheetId="5" hidden="1">{"'名古屋'!$A$1:$H$32"}</definedName>
    <definedName name="おおおおおお" hidden="1">{"'名古屋'!$A$1:$H$32"}</definedName>
    <definedName name="か" localSheetId="4" hidden="1">{"Master Status",#N/A,FALSE,"Master"}</definedName>
    <definedName name="か" localSheetId="5" hidden="1">{"Master Status",#N/A,FALSE,"Master"}</definedName>
    <definedName name="か" hidden="1">{"Master Status",#N/A,FALSE,"Master"}</definedName>
    <definedName name="かてごり">#REF!</definedName>
    <definedName name="コーディング誤り">#REF!</definedName>
    <definedName name="コーディング標準違反">#REF!</definedName>
    <definedName name="コーディング漏れ">#REF!</definedName>
    <definedName name="ステータスリスト">#REF!</definedName>
    <definedName name="だｓが" localSheetId="4" hidden="1">{#N/A,#N/A,FALSE,"担当"}</definedName>
    <definedName name="だｓが" localSheetId="5" hidden="1">{#N/A,#N/A,FALSE,"担当"}</definedName>
    <definedName name="だｓが" hidden="1">{#N/A,#N/A,FALSE,"担当"}</definedName>
    <definedName name="だあああああ" hidden="1">"人時実績表　売上実績順"</definedName>
    <definedName name="タスクドキュメント１" hidden="1">#REF!</definedName>
    <definedName name="チェックシート" localSheetId="4" hidden="1">{#N/A,#N/A,FALSE,"本部-店舗通信ﾃｽﾄｽｹｼﾞｭｰﾙ"}</definedName>
    <definedName name="チェックシート" localSheetId="5" hidden="1">{#N/A,#N/A,FALSE,"本部-店舗通信ﾃｽﾄｽｹｼﾞｭｰﾙ"}</definedName>
    <definedName name="チェックシート" hidden="1">{#N/A,#N/A,FALSE,"本部-店舗通信ﾃｽﾄｽｹｼﾞｭｰﾙ"}</definedName>
    <definedName name="っがｇ" localSheetId="4" hidden="1">{"Ｍ系全体",#N/A,FALSE,"業務改造"}</definedName>
    <definedName name="っがｇ" localSheetId="5" hidden="1">{"Ｍ系全体",#N/A,FALSE,"業務改造"}</definedName>
    <definedName name="っがｇ" hidden="1">{"Ｍ系全体",#N/A,FALSE,"業務改造"}</definedName>
    <definedName name="っっっっｇ" localSheetId="4" hidden="1">{"'一覧'!$A$1:$M$28"}</definedName>
    <definedName name="っっっっｇ" localSheetId="5" hidden="1">{"'一覧'!$A$1:$M$28"}</definedName>
    <definedName name="っっっっｇ" hidden="1">{"'一覧'!$A$1:$M$28"}</definedName>
    <definedName name="テスト" localSheetId="4" hidden="1">{"'一覧'!$A$1:$M$28"}</definedName>
    <definedName name="テスト" localSheetId="5" hidden="1">{"'一覧'!$A$1:$M$28"}</definedName>
    <definedName name="テスト" hidden="1">{"'一覧'!$A$1:$M$28"}</definedName>
    <definedName name="テストケース誤り">#REF!</definedName>
    <definedName name="テストケース数シート別" localSheetId="4">#REF!</definedName>
    <definedName name="テストケース数シート別" localSheetId="5">#REF!</definedName>
    <definedName name="テストケース数シート別" localSheetId="3">'テスト仕様（No.1)'!$C$1</definedName>
    <definedName name="テストケース数シート別" localSheetId="6">'テスト仕様（No.2）'!$C$1</definedName>
    <definedName name="テストケース数シート別">#REF!</definedName>
    <definedName name="テストケース表現不備">#REF!</definedName>
    <definedName name="テストケース漏れ">#REF!</definedName>
    <definedName name="テスト設計標準違反">#REF!</definedName>
    <definedName name="ね表紙" hidden="1">#REF!</definedName>
    <definedName name="バリデータタグ">'[1]画面設計書の「4.項目チェック（単体）」の欄外'!$BN$5:$BN$70</definedName>
    <definedName name="ふぁふぁ" localSheetId="4" hidden="1">{"Ｍ系全体",#N/A,FALSE,"業務改造";"サーバ別",#N/A,FALSE,"業務改造"}</definedName>
    <definedName name="ふぁふぁ" localSheetId="5" hidden="1">{"Ｍ系全体",#N/A,FALSE,"業務改造";"サーバ別",#N/A,FALSE,"業務改造"}</definedName>
    <definedName name="ふぁふぁ" hidden="1">{"Ｍ系全体",#N/A,FALSE,"業務改造";"サーバ別",#N/A,FALSE,"業務改造"}</definedName>
    <definedName name="プレーヤー区分" hidden="1">#REF!</definedName>
    <definedName name="プロジェクトコスト計画" localSheetId="4" hidden="1">{"'一覧'!$A$1:$M$28"}</definedName>
    <definedName name="プロジェクトコスト計画" localSheetId="5" hidden="1">{"'一覧'!$A$1:$M$28"}</definedName>
    <definedName name="プロジェクトコスト計画" hidden="1">{"'一覧'!$A$1:$M$28"}</definedName>
    <definedName name="プロジェクトコスト計画ｂ" localSheetId="4" hidden="1">{"'一覧'!$A$1:$M$28"}</definedName>
    <definedName name="プロジェクトコスト計画ｂ" localSheetId="5" hidden="1">{"'一覧'!$A$1:$M$28"}</definedName>
    <definedName name="プロジェクトコスト計画ｂ" hidden="1">{"'一覧'!$A$1:$M$28"}</definedName>
    <definedName name="まま" localSheetId="4" hidden="1">{#N/A,#N/A,FALSE,"担当"}</definedName>
    <definedName name="まま" localSheetId="5" hidden="1">{#N/A,#N/A,FALSE,"担当"}</definedName>
    <definedName name="まま" hidden="1">{#N/A,#N/A,FALSE,"担当"}</definedName>
    <definedName name="らら" localSheetId="4" hidden="1">{#N/A,#N/A,FALSE,"担当"}</definedName>
    <definedName name="らら" localSheetId="5" hidden="1">{#N/A,#N/A,FALSE,"担当"}</definedName>
    <definedName name="らら" hidden="1">{#N/A,#N/A,FALSE,"担当"}</definedName>
    <definedName name="レビュー指摘_レビューバグ_当工程バグ数">[2]ツール実行ガイダンス!$G$13</definedName>
    <definedName name="ロード" hidden="1">"'[1998022週人時実績表.xls]980022'!$A$2:$Y$113"</definedName>
    <definedName name="ロック" hidden="1">"98/08/17"</definedName>
    <definedName name="わわわわ" localSheetId="4" hidden="1">{#N/A,#N/A,FALSE,"担当"}</definedName>
    <definedName name="わわわわ" localSheetId="5" hidden="1">{#N/A,#N/A,FALSE,"担当"}</definedName>
    <definedName name="わわわわ" hidden="1">{#N/A,#N/A,FALSE,"担当"}</definedName>
    <definedName name="安藤" hidden="1">#REF!</definedName>
    <definedName name="改ページ" hidden="1">#REF!</definedName>
    <definedName name="学習机リーフ" localSheetId="4" hidden="1">{"'9_22HfaS'!$A$10:$H$23"}</definedName>
    <definedName name="学習机リーフ" localSheetId="5" hidden="1">{"'9_22HfaS'!$A$10:$H$23"}</definedName>
    <definedName name="学習机リーフ" hidden="1">{"'9_22HfaS'!$A$10:$H$23"}</definedName>
    <definedName name="関連表" hidden="1">#REF!</definedName>
    <definedName name="基本">#REF!</definedName>
    <definedName name="形式">#REF!</definedName>
    <definedName name="見積書" localSheetId="4" hidden="1">{#N/A,#N/A,TRUE,"ＮＰ２００実装図 (1)";#N/A,#N/A,TRUE,"ＮＰ２００実装図 (2)";#N/A,#N/A,TRUE,"ＮＰ２００実装図 (3)";#N/A,#N/A,TRUE,"ＮＰ２００実装図 (4)";#N/A,#N/A,TRUE,"ＮＰ２００実装図 (5)";#N/A,#N/A,TRUE,"ＮＰ２００実装図 (6)";#N/A,#N/A,TRUE,"ＮＰ２００実装図 (7)";#N/A,#N/A,TRUE,"ＮＰ２００実装図 (8)";#N/A,#N/A,TRUE,"ＮＰ２００実装図 (9)";#N/A,#N/A,TRUE,"ＮＰ２００実装図 (10)";#N/A,#N/A,TRUE,"ＮＰ２００実装図 (11)";#N/A,#N/A,TRUE,"ＮＰ２００実装図 (12)";#N/A,#N/A,TRUE,"ＮＰ２００実装図 (13)";#N/A,#N/A,TRUE,"ＮＰ２００実装図 (14)";#N/A,#N/A,TRUE,"ＮＰ２００実装図 (15)";#N/A,#N/A,TRUE,"ＮＰ２００実装図 (16)";#N/A,#N/A,TRUE,"ＮＰ２００実装図 (17)";#N/A,#N/A,TRUE,"ＮＰ２００実装図 (18)";#N/A,#N/A,TRUE,"ＮＰ２００実装図 (19)";#N/A,#N/A,TRUE,"ＮＰ２００実装図 (20)";#N/A,#N/A,TRUE,"ＮＰ２００実装図 (21)";#N/A,#N/A,TRUE,"ＮＰ２００実装図 (22)"}</definedName>
    <definedName name="見積書" localSheetId="5" hidden="1">{#N/A,#N/A,TRUE,"ＮＰ２００実装図 (1)";#N/A,#N/A,TRUE,"ＮＰ２００実装図 (2)";#N/A,#N/A,TRUE,"ＮＰ２００実装図 (3)";#N/A,#N/A,TRUE,"ＮＰ２００実装図 (4)";#N/A,#N/A,TRUE,"ＮＰ２００実装図 (5)";#N/A,#N/A,TRUE,"ＮＰ２００実装図 (6)";#N/A,#N/A,TRUE,"ＮＰ２００実装図 (7)";#N/A,#N/A,TRUE,"ＮＰ２００実装図 (8)";#N/A,#N/A,TRUE,"ＮＰ２００実装図 (9)";#N/A,#N/A,TRUE,"ＮＰ２００実装図 (10)";#N/A,#N/A,TRUE,"ＮＰ２００実装図 (11)";#N/A,#N/A,TRUE,"ＮＰ２００実装図 (12)";#N/A,#N/A,TRUE,"ＮＰ２００実装図 (13)";#N/A,#N/A,TRUE,"ＮＰ２００実装図 (14)";#N/A,#N/A,TRUE,"ＮＰ２００実装図 (15)";#N/A,#N/A,TRUE,"ＮＰ２００実装図 (16)";#N/A,#N/A,TRUE,"ＮＰ２００実装図 (17)";#N/A,#N/A,TRUE,"ＮＰ２００実装図 (18)";#N/A,#N/A,TRUE,"ＮＰ２００実装図 (19)";#N/A,#N/A,TRUE,"ＮＰ２００実装図 (20)";#N/A,#N/A,TRUE,"ＮＰ２００実装図 (21)";#N/A,#N/A,TRUE,"ＮＰ２００実装図 (22)"}</definedName>
    <definedName name="見積書" hidden="1">{#N/A,#N/A,TRUE,"ＮＰ２００実装図 (1)";#N/A,#N/A,TRUE,"ＮＰ２００実装図 (2)";#N/A,#N/A,TRUE,"ＮＰ２００実装図 (3)";#N/A,#N/A,TRUE,"ＮＰ２００実装図 (4)";#N/A,#N/A,TRUE,"ＮＰ２００実装図 (5)";#N/A,#N/A,TRUE,"ＮＰ２００実装図 (6)";#N/A,#N/A,TRUE,"ＮＰ２００実装図 (7)";#N/A,#N/A,TRUE,"ＮＰ２００実装図 (8)";#N/A,#N/A,TRUE,"ＮＰ２００実装図 (9)";#N/A,#N/A,TRUE,"ＮＰ２００実装図 (10)";#N/A,#N/A,TRUE,"ＮＰ２００実装図 (11)";#N/A,#N/A,TRUE,"ＮＰ２００実装図 (12)";#N/A,#N/A,TRUE,"ＮＰ２００実装図 (13)";#N/A,#N/A,TRUE,"ＮＰ２００実装図 (14)";#N/A,#N/A,TRUE,"ＮＰ２００実装図 (15)";#N/A,#N/A,TRUE,"ＮＰ２００実装図 (16)";#N/A,#N/A,TRUE,"ＮＰ２００実装図 (17)";#N/A,#N/A,TRUE,"ＮＰ２００実装図 (18)";#N/A,#N/A,TRUE,"ＮＰ２００実装図 (19)";#N/A,#N/A,TRUE,"ＮＰ２００実装図 (20)";#N/A,#N/A,TRUE,"ＮＰ２００実装図 (21)";#N/A,#N/A,TRUE,"ＮＰ２００実装図 (22)"}</definedName>
    <definedName name="参考出力イメージ" hidden="1">#REF!</definedName>
    <definedName name="残業単価">#REF!</definedName>
    <definedName name="住所区分" hidden="1">#REF!</definedName>
    <definedName name="重要度リスト">#REF!</definedName>
    <definedName name="出力サイクル">#REF!</definedName>
    <definedName name="処理機能記述" hidden="1">#REF!</definedName>
    <definedName name="情シス説明" localSheetId="4" hidden="1">{"全社（月度）",#N/A,TRUE,"印刷シート";"全社（下期）",#N/A,TRUE,"印刷シート";"全社（累計）",#N/A,TRUE,"印刷シート";"北海道（月度）",#N/A,TRUE,"印刷シート";"北海道（下期）",#N/A,TRUE,"印刷シート";"北海道（累計）",#N/A,TRUE,"印刷シート";"東北（月度）",#N/A,TRUE,"印刷シート";"東北（下期）",#N/A,TRUE,"印刷シート";"東北（累計）",#N/A,TRUE,"印刷シート";"本社（月度）",#N/A,TRUE,"印刷シート本社";"本社（下期）",#N/A,TRUE,"印刷シート本社";"本社（累計）",#N/A,TRUE,"印刷シート本社"}</definedName>
    <definedName name="情シス説明" localSheetId="5" hidden="1">{"全社（月度）",#N/A,TRUE,"印刷シート";"全社（下期）",#N/A,TRUE,"印刷シート";"全社（累計）",#N/A,TRUE,"印刷シート";"北海道（月度）",#N/A,TRUE,"印刷シート";"北海道（下期）",#N/A,TRUE,"印刷シート";"北海道（累計）",#N/A,TRUE,"印刷シート";"東北（月度）",#N/A,TRUE,"印刷シート";"東北（下期）",#N/A,TRUE,"印刷シート";"東北（累計）",#N/A,TRUE,"印刷シート";"本社（月度）",#N/A,TRUE,"印刷シート本社";"本社（下期）",#N/A,TRUE,"印刷シート本社";"本社（累計）",#N/A,TRUE,"印刷シート本社"}</definedName>
    <definedName name="情シス説明" hidden="1">{"全社（月度）",#N/A,TRUE,"印刷シート";"全社（下期）",#N/A,TRUE,"印刷シート";"全社（累計）",#N/A,TRUE,"印刷シート";"北海道（月度）",#N/A,TRUE,"印刷シート";"北海道（下期）",#N/A,TRUE,"印刷シート";"北海道（累計）",#N/A,TRUE,"印刷シート";"東北（月度）",#N/A,TRUE,"印刷シート";"東北（下期）",#N/A,TRUE,"印刷シート";"東北（累計）",#N/A,TRUE,"印刷シート";"本社（月度）",#N/A,TRUE,"印刷シート本社";"本社（下期）",#N/A,TRUE,"印刷シート本社";"本社（累計）",#N/A,TRUE,"印刷シート本社"}</definedName>
    <definedName name="新組織１" hidden="1">"'[人時実績表ホームページ変換用（月間）.xls]ソート'!$A$2:$AC$57"</definedName>
    <definedName name="新組織１０" hidden="1">"1998年8月度(7/21～8/20)"</definedName>
    <definedName name="新組織１１" hidden="1">"残業率=時間外/(月標準定時数*残業対象者数)*100"</definedName>
    <definedName name="新組織１２" hidden="1">"98/08/19"</definedName>
    <definedName name="新組織１３" hidden="1">"'[人時実績表ホームページ変換用（月間）.xls]人時実績'!$A$2:$AC$130"</definedName>
    <definedName name="新組織２" hidden="1">"Z:\人時実績表会計月度\1998年7月度売上実績順.htm"</definedName>
    <definedName name="新組織３" hidden="1">"人時実績表　売上実績順"</definedName>
    <definedName name="新組織４" hidden="1">"1998年23週　売上実績順"</definedName>
    <definedName name="新組織５" hidden="1">""</definedName>
    <definedName name="新組織６" hidden="1">"98/07/30"</definedName>
    <definedName name="新組織７" hidden="1">"'[人時実績表ホームページ変換用（月間）.xls]人時実績'!$A$2:$AC$125"</definedName>
    <definedName name="新組織８" hidden="1">"Z:\人時実績表会計月度\1998年8月度人時実績表.htm"</definedName>
    <definedName name="新組織９" hidden="1">"人時実績表（会計月度）"</definedName>
    <definedName name="図形" localSheetId="4">IF(#REF!="Navi利用",Navi利用MSG,なし)</definedName>
    <definedName name="図形" localSheetId="5">IF(#REF!="Navi利用",Navi利用MSG,なし)</definedName>
    <definedName name="図形">IF(#REF!="Navi利用",Navi利用MSG,なし)</definedName>
    <definedName name="清掃" hidden="1">"1998年23週　売上実績順"</definedName>
    <definedName name="設計誤り">#REF!</definedName>
    <definedName name="設計標準違反">#REF!</definedName>
    <definedName name="設計表現不備">#REF!</definedName>
    <definedName name="設計不整合">#REF!</definedName>
    <definedName name="設計漏れ">#REF!</definedName>
    <definedName name="束原" hidden="1">#REF!</definedName>
    <definedName name="等級">#REF!</definedName>
    <definedName name="導入時期う" hidden="1">#REF!</definedName>
    <definedName name="媒体">#REF!</definedName>
    <definedName name="表1" hidden="1">#REF!</definedName>
    <definedName name="表紙" hidden="1">#REF!</definedName>
    <definedName name="品質活動計画_帰り">#REF!</definedName>
    <definedName name="品質活動計画_行き">#REF!</definedName>
    <definedName name="品質管理活動概況_帰り">#REF!</definedName>
    <definedName name="品質管理活動概況_行き">#REF!</definedName>
    <definedName name="品質分析評価_帰り">#REF!</definedName>
    <definedName name="品質分析評価_行き">#REF!</definedName>
    <definedName name="分析対象工程">#REF!</definedName>
    <definedName name="分類１規制リスト">[3]設定!$A$25:$A$33</definedName>
    <definedName name="分類２規制リスト">[3]設定!$C$25:$C$33</definedName>
    <definedName name="分類リスト">#REF!</definedName>
    <definedName name="本日作業" hidden="1">"1998年第26週(8/10～8/16)"</definedName>
    <definedName name="役割規制リスト">[3]設定!$E$25:$E$33</definedName>
    <definedName name="優先度">#REF!</definedName>
    <definedName name="用紙種類">#REF!</definedName>
    <definedName name="要件誤り">#REF!</definedName>
    <definedName name="要件定義標準違反">#REF!</definedName>
    <definedName name="要件定義表現不備">#REF!</definedName>
    <definedName name="要件不整合">#REF!</definedName>
    <definedName name="要件漏れ">#REF!</definedName>
    <definedName name="利用する部品">'[4]画面レイアウト・入出力項目全般確認（No.201）'!$CB$5:$CB$16</definedName>
    <definedName name="連携方法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54" l="1"/>
  <c r="C13" i="55"/>
  <c r="C14" i="55" s="1"/>
  <c r="C33" i="55" l="1"/>
  <c r="C35" i="55" s="1"/>
  <c r="C37" i="55" s="1"/>
  <c r="C39" i="55" s="1"/>
  <c r="C41" i="55" s="1"/>
  <c r="C43" i="55" s="1"/>
  <c r="C45" i="55" s="1"/>
  <c r="C20" i="55"/>
  <c r="C21" i="55" s="1"/>
  <c r="C22" i="55" s="1"/>
  <c r="C23" i="55" s="1"/>
  <c r="C24" i="55" s="1"/>
  <c r="C25" i="55" s="1"/>
  <c r="C26" i="55" s="1"/>
  <c r="C27" i="55" s="1"/>
  <c r="C28" i="55" s="1"/>
  <c r="C4" i="55"/>
  <c r="C5" i="55" s="1"/>
  <c r="C6" i="55" s="1"/>
  <c r="C7" i="55" s="1"/>
  <c r="C8" i="55" s="1"/>
  <c r="C9" i="55" s="1"/>
  <c r="C10" i="55" s="1"/>
  <c r="C11" i="55" s="1"/>
  <c r="C12" i="55" s="1"/>
  <c r="C15" i="55" s="1"/>
  <c r="C16" i="55" s="1"/>
  <c r="F1" i="55"/>
  <c r="E1" i="55" l="1"/>
  <c r="C4" i="54" l="1"/>
  <c r="C5" i="54" s="1"/>
  <c r="C6" i="54" s="1"/>
  <c r="C8" i="54" s="1"/>
  <c r="C9" i="54" s="1"/>
  <c r="C13" i="54"/>
  <c r="C21" i="54" l="1"/>
  <c r="F1" i="54"/>
  <c r="C26" i="54" l="1"/>
  <c r="C28" i="54" s="1"/>
  <c r="C30" i="54" s="1"/>
  <c r="C32" i="54" s="1"/>
  <c r="C34" i="54" s="1"/>
  <c r="C36" i="54" s="1"/>
  <c r="C38" i="54" s="1"/>
  <c r="E1" i="54" l="1"/>
  <c r="I2" i="34" a="1"/>
  <c r="I3" i="34" a="1"/>
  <c r="I3" i="34" l="1"/>
  <c r="I2" i="34"/>
  <c r="A2" i="10"/>
  <c r="J2" i="3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SCSK</author>
  </authors>
  <commentList>
    <comment ref="E1" authorId="0" shapeId="0" xr:uid="{00000000-0006-0000-01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変更の起因となった不具合管理番号、変更管理番号などを記載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<sst xmlns="http://schemas.openxmlformats.org/spreadsheetml/2006/main" count="2115" uniqueCount="635">
  <si>
    <t>管理No.：</t>
    <rPh sb="0" eb="2">
      <t>カンリ</t>
    </rPh>
    <phoneticPr fontId="8"/>
  </si>
  <si>
    <t>顧客ID</t>
    <rPh sb="0" eb="2">
      <t>コキャク</t>
    </rPh>
    <phoneticPr fontId="32"/>
  </si>
  <si>
    <t>顧客名</t>
    <rPh sb="0" eb="2">
      <t>コキャク</t>
    </rPh>
    <rPh sb="2" eb="3">
      <t>メイ</t>
    </rPh>
    <phoneticPr fontId="32"/>
  </si>
  <si>
    <t>システムID</t>
    <phoneticPr fontId="32"/>
  </si>
  <si>
    <t>システム名</t>
    <rPh sb="4" eb="5">
      <t>メイ</t>
    </rPh>
    <phoneticPr fontId="32"/>
  </si>
  <si>
    <t>サブシステムID</t>
    <phoneticPr fontId="8"/>
  </si>
  <si>
    <t>サブシステム名</t>
    <rPh sb="6" eb="7">
      <t>メイ</t>
    </rPh>
    <phoneticPr fontId="8"/>
  </si>
  <si>
    <t>機能ID</t>
    <rPh sb="0" eb="2">
      <t>キノウ</t>
    </rPh>
    <phoneticPr fontId="8"/>
  </si>
  <si>
    <t>機能名</t>
    <rPh sb="0" eb="2">
      <t>キノウ</t>
    </rPh>
    <rPh sb="2" eb="3">
      <t>メイ</t>
    </rPh>
    <phoneticPr fontId="8"/>
  </si>
  <si>
    <t>プログラムID</t>
    <phoneticPr fontId="8"/>
  </si>
  <si>
    <t>プログラム名</t>
    <rPh sb="5" eb="6">
      <t>メイ</t>
    </rPh>
    <phoneticPr fontId="8"/>
  </si>
  <si>
    <t>作成日付</t>
    <rPh sb="0" eb="2">
      <t>サクセイ</t>
    </rPh>
    <rPh sb="2" eb="4">
      <t>ヒヅケ</t>
    </rPh>
    <phoneticPr fontId="32"/>
  </si>
  <si>
    <t>作成者</t>
    <rPh sb="0" eb="3">
      <t>サクセイシャ</t>
    </rPh>
    <phoneticPr fontId="8"/>
  </si>
  <si>
    <t>最終変更日付</t>
    <rPh sb="0" eb="2">
      <t>サイシュウ</t>
    </rPh>
    <rPh sb="2" eb="4">
      <t>ヘンコウ</t>
    </rPh>
    <rPh sb="4" eb="6">
      <t>ヒヅケ</t>
    </rPh>
    <phoneticPr fontId="32"/>
  </si>
  <si>
    <t>変更者</t>
    <rPh sb="0" eb="2">
      <t>ヘンコウ</t>
    </rPh>
    <rPh sb="2" eb="3">
      <t>シャ</t>
    </rPh>
    <phoneticPr fontId="8"/>
  </si>
  <si>
    <t>確認欄</t>
    <rPh sb="0" eb="2">
      <t>カクニン</t>
    </rPh>
    <rPh sb="2" eb="3">
      <t>ラン</t>
    </rPh>
    <phoneticPr fontId="32"/>
  </si>
  <si>
    <t>印</t>
    <rPh sb="0" eb="1">
      <t>イン</t>
    </rPh>
    <phoneticPr fontId="32"/>
  </si>
  <si>
    <t>No.</t>
    <phoneticPr fontId="8"/>
  </si>
  <si>
    <t>版</t>
    <rPh sb="0" eb="1">
      <t>ハン</t>
    </rPh>
    <phoneticPr fontId="8"/>
  </si>
  <si>
    <t>変更箇所</t>
    <rPh sb="0" eb="2">
      <t>ヘンコウ</t>
    </rPh>
    <rPh sb="2" eb="4">
      <t>カショ</t>
    </rPh>
    <phoneticPr fontId="8"/>
  </si>
  <si>
    <t>変更内容</t>
    <rPh sb="0" eb="2">
      <t>ヘンコウ</t>
    </rPh>
    <rPh sb="2" eb="4">
      <t>ナイヨウ</t>
    </rPh>
    <phoneticPr fontId="8"/>
  </si>
  <si>
    <t>管理番号</t>
    <rPh sb="0" eb="2">
      <t>カンリ</t>
    </rPh>
    <rPh sb="2" eb="4">
      <t>バンゴウ</t>
    </rPh>
    <phoneticPr fontId="8"/>
  </si>
  <si>
    <t>変更者
・日付</t>
    <rPh sb="0" eb="2">
      <t>ヘンコウ</t>
    </rPh>
    <rPh sb="2" eb="3">
      <t>シャ</t>
    </rPh>
    <rPh sb="5" eb="7">
      <t>ヒヅケ</t>
    </rPh>
    <phoneticPr fontId="8"/>
  </si>
  <si>
    <t>確認者
・日付</t>
    <rPh sb="0" eb="2">
      <t>カクニン</t>
    </rPh>
    <rPh sb="2" eb="3">
      <t>シャ</t>
    </rPh>
    <rPh sb="5" eb="7">
      <t>ヒヅケ</t>
    </rPh>
    <phoneticPr fontId="8"/>
  </si>
  <si>
    <t>承認者
・日付</t>
    <rPh sb="0" eb="2">
      <t>ショウニン</t>
    </rPh>
    <rPh sb="2" eb="3">
      <t>シャ</t>
    </rPh>
    <rPh sb="5" eb="7">
      <t>ヒヅケ</t>
    </rPh>
    <phoneticPr fontId="8"/>
  </si>
  <si>
    <t>テスト観点</t>
    <rPh sb="3" eb="5">
      <t>カンテン</t>
    </rPh>
    <phoneticPr fontId="8"/>
  </si>
  <si>
    <t>想定結果</t>
    <rPh sb="0" eb="2">
      <t>ソウテイ</t>
    </rPh>
    <rPh sb="2" eb="4">
      <t>ケッカ</t>
    </rPh>
    <phoneticPr fontId="8"/>
  </si>
  <si>
    <t>エビデンス</t>
    <phoneticPr fontId="8"/>
  </si>
  <si>
    <t>確認結果</t>
    <rPh sb="0" eb="2">
      <t>カクニン</t>
    </rPh>
    <rPh sb="2" eb="4">
      <t>ケッカ</t>
    </rPh>
    <phoneticPr fontId="8"/>
  </si>
  <si>
    <t>テストケースＮｏ．</t>
    <phoneticPr fontId="12"/>
  </si>
  <si>
    <t>件数：</t>
    <rPh sb="0" eb="2">
      <t>ケンスウ</t>
    </rPh>
    <phoneticPr fontId="8"/>
  </si>
  <si>
    <t>№</t>
    <phoneticPr fontId="8"/>
  </si>
  <si>
    <t>テストケース条件内容</t>
    <rPh sb="8" eb="10">
      <t>ナイヨウ</t>
    </rPh>
    <phoneticPr fontId="8"/>
  </si>
  <si>
    <t>テストケース条件</t>
    <rPh sb="6" eb="8">
      <t>ジョウケン</t>
    </rPh>
    <phoneticPr fontId="12"/>
  </si>
  <si>
    <t>確認項目内容</t>
    <rPh sb="0" eb="2">
      <t>カクニン</t>
    </rPh>
    <rPh sb="2" eb="4">
      <t>コウモク</t>
    </rPh>
    <rPh sb="4" eb="6">
      <t>ナイヨウ</t>
    </rPh>
    <phoneticPr fontId="8"/>
  </si>
  <si>
    <t>エビデンス内容</t>
    <rPh sb="5" eb="7">
      <t>ナイヨウ</t>
    </rPh>
    <phoneticPr fontId="8"/>
  </si>
  <si>
    <t>I</t>
    <phoneticPr fontId="8"/>
  </si>
  <si>
    <t>O</t>
    <phoneticPr fontId="8"/>
  </si>
  <si>
    <t>確認結果</t>
    <phoneticPr fontId="8"/>
  </si>
  <si>
    <t>チェック欄</t>
    <rPh sb="4" eb="5">
      <t>ラン</t>
    </rPh>
    <phoneticPr fontId="8"/>
  </si>
  <si>
    <t>Y</t>
    <phoneticPr fontId="8"/>
  </si>
  <si>
    <t>〇</t>
  </si>
  <si>
    <t>前提条件</t>
    <rPh sb="0" eb="2">
      <t>ゼンテイ</t>
    </rPh>
    <rPh sb="2" eb="4">
      <t>ジョウケン</t>
    </rPh>
    <phoneticPr fontId="8"/>
  </si>
  <si>
    <t>・メソッドが内部設計通りに動作すること</t>
  </si>
  <si>
    <t>データパターン備考</t>
  </si>
  <si>
    <t>入力</t>
  </si>
  <si>
    <t>出力</t>
  </si>
  <si>
    <t>No.1</t>
    <phoneticPr fontId="8"/>
  </si>
  <si>
    <t>JUnitで確認</t>
  </si>
  <si>
    <t xml:space="preserve">・Mapperの処理分岐
・SELECT文のSELECT句
・SELECT文のWHERE句
・SELECT文の結合条件(JOIN)
・SELECT文の集約条件 (GROUP BY)
・SELECT文のORDER BY句
</t>
  </si>
  <si>
    <t>確認項目　※詳細は「単体テスト観点」を参照</t>
    <rPh sb="0" eb="2">
      <t>カクニン</t>
    </rPh>
    <rPh sb="2" eb="4">
      <t>コウモク</t>
    </rPh>
    <rPh sb="6" eb="8">
      <t>ショウサイ</t>
    </rPh>
    <rPh sb="10" eb="12">
      <t>タンタイ</t>
    </rPh>
    <rPh sb="15" eb="17">
      <t>カンテン</t>
    </rPh>
    <rPh sb="19" eb="21">
      <t>サンショウ</t>
    </rPh>
    <phoneticPr fontId="8"/>
  </si>
  <si>
    <t>テストパターン数</t>
    <rPh sb="7" eb="8">
      <t>スウ</t>
    </rPh>
    <phoneticPr fontId="8"/>
  </si>
  <si>
    <t>テストパターン数合計</t>
    <rPh sb="7" eb="8">
      <t>スウ</t>
    </rPh>
    <rPh sb="8" eb="10">
      <t>ゴウケイ</t>
    </rPh>
    <phoneticPr fontId="8"/>
  </si>
  <si>
    <t>parameterType</t>
    <phoneticPr fontId="8"/>
  </si>
  <si>
    <t>resultType</t>
    <phoneticPr fontId="8"/>
  </si>
  <si>
    <t>ホクレン</t>
    <phoneticPr fontId="8"/>
  </si>
  <si>
    <t>統合会計システム</t>
    <rPh sb="0" eb="2">
      <t>トウゴウ</t>
    </rPh>
    <rPh sb="2" eb="4">
      <t>カイケイ</t>
    </rPh>
    <phoneticPr fontId="8"/>
  </si>
  <si>
    <t>XXXXXXXXXX</t>
    <phoneticPr fontId="8"/>
  </si>
  <si>
    <t>YYYY/MM/DD</t>
    <phoneticPr fontId="8"/>
  </si>
  <si>
    <t>－</t>
  </si>
  <si>
    <t>－</t>
    <phoneticPr fontId="8"/>
  </si>
  <si>
    <r>
      <t xml:space="preserve">単体テスト仕様書兼結果報告書
</t>
    </r>
    <r>
      <rPr>
        <b/>
        <sz val="22"/>
        <rFont val="ＭＳ Ｐゴシック"/>
        <family val="3"/>
        <charset val="128"/>
      </rPr>
      <t>（第1.0版）</t>
    </r>
    <rPh sb="16" eb="17">
      <t>ダイ</t>
    </rPh>
    <rPh sb="20" eb="21">
      <t>ハン</t>
    </rPh>
    <phoneticPr fontId="8"/>
  </si>
  <si>
    <t>処理結果情報にデータが存在する値を設定</t>
    <rPh sb="0" eb="6">
      <t>ショリケッカジョウホウ</t>
    </rPh>
    <phoneticPr fontId="8"/>
  </si>
  <si>
    <t>0</t>
  </si>
  <si>
    <t>2</t>
  </si>
  <si>
    <t>1</t>
  </si>
  <si>
    <t>V_AQA062_CddatMst</t>
    <phoneticPr fontId="8"/>
  </si>
  <si>
    <t>V_コードデータマスタ</t>
    <phoneticPr fontId="8"/>
  </si>
  <si>
    <t>PK</t>
    <phoneticPr fontId="8"/>
  </si>
  <si>
    <t>ADMIN</t>
  </si>
  <si>
    <t>ﾄｳｺﾞｳｶｲｹｲｷｮｳﾂｳ</t>
  </si>
  <si>
    <t>ｶｲｹｲﾄｳｺﾞｳｼｽﾃﾑ</t>
  </si>
  <si>
    <t>対象テストNo</t>
    <phoneticPr fontId="8"/>
  </si>
  <si>
    <t>ﾚﾝﾄﾞｳﾓﾄｼｽﾃﾑｶﾝﾘｺｰﾄﾞﾃｽﾄ</t>
    <phoneticPr fontId="8"/>
  </si>
  <si>
    <t>Integer</t>
  </si>
  <si>
    <t>String</t>
  </si>
  <si>
    <t>削除区分</t>
  </si>
  <si>
    <t>排他カウンタ</t>
  </si>
  <si>
    <t>作成日時</t>
  </si>
  <si>
    <t>最終更新日時</t>
  </si>
  <si>
    <t>SAKZYO_KBN</t>
  </si>
  <si>
    <t>HAITA_CNT</t>
  </si>
  <si>
    <t>SAKSE_DTM</t>
  </si>
  <si>
    <t>LSTUPD_DTM</t>
  </si>
  <si>
    <t>LSTUPD_USER_ID</t>
  </si>
  <si>
    <t>TEKIYO_KAISHIBI</t>
  </si>
  <si>
    <t>TEKIYO_SHURYOBI</t>
  </si>
  <si>
    <t>最終更新者ユーザーID</t>
  </si>
  <si>
    <t>入力日時</t>
  </si>
  <si>
    <t>入力者ユーザーID</t>
  </si>
  <si>
    <t>承認日時</t>
  </si>
  <si>
    <t>承認者ユーザーID</t>
  </si>
  <si>
    <t>適用開始年月日</t>
  </si>
  <si>
    <t>適用終了年月日</t>
  </si>
  <si>
    <t>NYURYOKU_DTM</t>
  </si>
  <si>
    <t>NYURYOKU_USER_ID</t>
  </si>
  <si>
    <t>SHONIN_DTM</t>
  </si>
  <si>
    <t>SHONIN_USER_ID</t>
  </si>
  <si>
    <t>検索結果データの確認</t>
    <rPh sb="0" eb="2">
      <t>ケンサク</t>
    </rPh>
    <rPh sb="2" eb="4">
      <t>ケッカ</t>
    </rPh>
    <rPh sb="8" eb="10">
      <t>カクニン</t>
    </rPh>
    <phoneticPr fontId="8"/>
  </si>
  <si>
    <t>○</t>
    <phoneticPr fontId="8"/>
  </si>
  <si>
    <t>DAO+Mapperのメソッドの妥当性
基本入力ヘッダ情報取得</t>
    <phoneticPr fontId="8"/>
  </si>
  <si>
    <t>DAO+Mapperのメソッドの妥当性
人件費情報入力一覧検索</t>
    <phoneticPr fontId="8"/>
  </si>
  <si>
    <t>8.5.1</t>
    <phoneticPr fontId="8"/>
  </si>
  <si>
    <t>人件費情報入力</t>
    <rPh sb="0" eb="3">
      <t>ジンケンヒ</t>
    </rPh>
    <rPh sb="3" eb="5">
      <t>ジョウホウ</t>
    </rPh>
    <rPh sb="5" eb="7">
      <t>ニュウリョク</t>
    </rPh>
    <phoneticPr fontId="8"/>
  </si>
  <si>
    <t>閻峰</t>
    <rPh sb="0" eb="1">
      <t>エン</t>
    </rPh>
    <rPh sb="1" eb="2">
      <t>ホウ</t>
    </rPh>
    <phoneticPr fontId="8"/>
  </si>
  <si>
    <t>人件費連動情報ヘッダ</t>
    <phoneticPr fontId="8"/>
  </si>
  <si>
    <t>DAA301_JinkenhiRendoJohoHeader</t>
    <phoneticPr fontId="8"/>
  </si>
  <si>
    <t>削除区分</t>
    <phoneticPr fontId="8"/>
  </si>
  <si>
    <t>排他カウンタ</t>
    <phoneticPr fontId="8"/>
  </si>
  <si>
    <t>支給日</t>
  </si>
  <si>
    <t>入力区分</t>
    <phoneticPr fontId="8"/>
  </si>
  <si>
    <t>伝票番号</t>
  </si>
  <si>
    <t>経理日</t>
  </si>
  <si>
    <t>承認状況区分</t>
  </si>
  <si>
    <t>添付ファイルＩＤ１</t>
  </si>
  <si>
    <t>添付ファイルＩＤ２</t>
  </si>
  <si>
    <t>添付ファイルＩＤ３</t>
  </si>
  <si>
    <t>参照URL</t>
  </si>
  <si>
    <t>承認依頼日時</t>
  </si>
  <si>
    <t>承認依頼者ユーザーID</t>
  </si>
  <si>
    <t>差戻日時</t>
  </si>
  <si>
    <t>差戻者ユーザーID</t>
  </si>
  <si>
    <t>差戻コメント</t>
  </si>
  <si>
    <t>取消区分</t>
  </si>
  <si>
    <t>申請番号</t>
  </si>
  <si>
    <t>処理済フラグ</t>
  </si>
  <si>
    <t>SHIKYUBI</t>
  </si>
  <si>
    <t>NYURYOKU_KBN</t>
  </si>
  <si>
    <t>DEMPYO_NO</t>
  </si>
  <si>
    <t>KEIRIBI</t>
  </si>
  <si>
    <t>SHONIN_JOKYO_KBN</t>
  </si>
  <si>
    <t>TENPU_FILE_ID_1</t>
  </si>
  <si>
    <t>TENPU_FILE_ID_2</t>
  </si>
  <si>
    <t>TENPU_FILE_ID_3</t>
  </si>
  <si>
    <t>SANSHO_URL</t>
  </si>
  <si>
    <t>SHONIN_IRAI_DTM</t>
  </si>
  <si>
    <t>SHONIN_IRAISHA_USER_ID</t>
  </si>
  <si>
    <t>SASHIMODOSHI_DTM</t>
  </si>
  <si>
    <t>SASHIMODOSHISHA_USER_ID</t>
  </si>
  <si>
    <t>SASHIMODOSHI_COMMENT</t>
  </si>
  <si>
    <t>TORIKESHI_KBN</t>
  </si>
  <si>
    <t>SHINSEI_NO</t>
  </si>
  <si>
    <t>SHORI_ZUMI_FLG</t>
  </si>
  <si>
    <r>
      <t xml:space="preserve">入力区分="2"
</t>
    </r>
    <r>
      <rPr>
        <sz val="11"/>
        <color rgb="FF0000FF"/>
        <rFont val="ＭＳ 明朝"/>
        <family val="1"/>
        <charset val="128"/>
      </rPr>
      <t>検索条件合致データ</t>
    </r>
    <phoneticPr fontId="8"/>
  </si>
  <si>
    <t>USR00002</t>
    <phoneticPr fontId="8"/>
  </si>
  <si>
    <t>DENPYO000001</t>
  </si>
  <si>
    <t>USR00001</t>
  </si>
  <si>
    <t>USR00003</t>
  </si>
  <si>
    <t>USR00002</t>
  </si>
  <si>
    <t>SHINSEI000000000001</t>
  </si>
  <si>
    <r>
      <t xml:space="preserve">入力区分="1"
</t>
    </r>
    <r>
      <rPr>
        <sz val="11"/>
        <color rgb="FF0000FF"/>
        <rFont val="ＭＳ 明朝"/>
        <family val="1"/>
        <charset val="128"/>
      </rPr>
      <t>検索条件合致データ</t>
    </r>
    <phoneticPr fontId="8"/>
  </si>
  <si>
    <t>2</t>
    <phoneticPr fontId="8"/>
  </si>
  <si>
    <t>SHINSEI000000000004</t>
  </si>
  <si>
    <r>
      <t xml:space="preserve">対象年月From(過去のデータ)
</t>
    </r>
    <r>
      <rPr>
        <sz val="11"/>
        <color rgb="FFFF0000"/>
        <rFont val="ＭＳ 明朝"/>
        <family val="1"/>
        <charset val="128"/>
      </rPr>
      <t>検索条件不一致データ</t>
    </r>
    <rPh sb="0" eb="2">
      <t>タイショウ</t>
    </rPh>
    <rPh sb="9" eb="11">
      <t>カコ</t>
    </rPh>
    <rPh sb="17" eb="19">
      <t>ケンサク</t>
    </rPh>
    <rPh sb="19" eb="21">
      <t>ジョウケン</t>
    </rPh>
    <rPh sb="21" eb="24">
      <t>フイッチ</t>
    </rPh>
    <phoneticPr fontId="8"/>
  </si>
  <si>
    <t>4</t>
  </si>
  <si>
    <t>SHINSEI000000000002</t>
  </si>
  <si>
    <r>
      <t xml:space="preserve">対象年月To(未来のデータ)
</t>
    </r>
    <r>
      <rPr>
        <sz val="11"/>
        <color rgb="FFFF0000"/>
        <rFont val="ＭＳ 明朝"/>
        <family val="1"/>
        <charset val="128"/>
      </rPr>
      <t>検索条件不一致データ</t>
    </r>
    <rPh sb="0" eb="2">
      <t>タイショウ</t>
    </rPh>
    <rPh sb="7" eb="9">
      <t>ミライ</t>
    </rPh>
    <phoneticPr fontId="8"/>
  </si>
  <si>
    <t>5</t>
  </si>
  <si>
    <t>https://example.com/ref/tc03</t>
  </si>
  <si>
    <t>SHINSEI000000000003</t>
  </si>
  <si>
    <t>3</t>
  </si>
  <si>
    <t>https://example.com/ref/tc06</t>
  </si>
  <si>
    <t>SHINSEI000000000006</t>
  </si>
  <si>
    <r>
      <t xml:space="preserve">正常
対象年月From(支給日年月と一致)
</t>
    </r>
    <r>
      <rPr>
        <sz val="11"/>
        <color rgb="FF0000FF"/>
        <rFont val="ＭＳ 明朝"/>
        <family val="1"/>
        <charset val="128"/>
      </rPr>
      <t>検索条件合致データ</t>
    </r>
    <rPh sb="3" eb="5">
      <t>タイショウ</t>
    </rPh>
    <rPh sb="12" eb="15">
      <t>シキュウビ</t>
    </rPh>
    <rPh sb="15" eb="17">
      <t>ネンゲツ</t>
    </rPh>
    <rPh sb="18" eb="20">
      <t>イッチ</t>
    </rPh>
    <rPh sb="22" eb="24">
      <t>ケンサク</t>
    </rPh>
    <rPh sb="24" eb="26">
      <t>ジョウケン</t>
    </rPh>
    <rPh sb="26" eb="28">
      <t>ガッチ</t>
    </rPh>
    <phoneticPr fontId="8"/>
  </si>
  <si>
    <r>
      <t xml:space="preserve">正常
対象年月From&amp;To(中間値)
</t>
    </r>
    <r>
      <rPr>
        <sz val="11"/>
        <color rgb="FF0000FF"/>
        <rFont val="ＭＳ 明朝"/>
        <family val="1"/>
        <charset val="128"/>
      </rPr>
      <t>検索条件合致データ</t>
    </r>
    <rPh sb="15" eb="17">
      <t>キカン</t>
    </rPh>
    <rPh sb="22" eb="25">
      <t>チュウカンチ</t>
    </rPh>
    <phoneticPr fontId="8"/>
  </si>
  <si>
    <r>
      <t xml:space="preserve">承認状況="4"
</t>
    </r>
    <r>
      <rPr>
        <sz val="11"/>
        <color rgb="FF0000FF"/>
        <rFont val="ＭＳ 明朝"/>
        <family val="1"/>
        <charset val="128"/>
      </rPr>
      <t>検索条件合致データ</t>
    </r>
    <phoneticPr fontId="8"/>
  </si>
  <si>
    <r>
      <t xml:space="preserve">承認状況="1"
</t>
    </r>
    <r>
      <rPr>
        <sz val="11"/>
        <color rgb="FF0000FF"/>
        <rFont val="ＭＳ 明朝"/>
        <family val="1"/>
        <charset val="128"/>
      </rPr>
      <t>検索条件合致データ</t>
    </r>
    <phoneticPr fontId="8"/>
  </si>
  <si>
    <t>5</t>
    <phoneticPr fontId="8"/>
  </si>
  <si>
    <t>SHINSEI000000000005</t>
  </si>
  <si>
    <r>
      <t xml:space="preserve">承認状況="2"
</t>
    </r>
    <r>
      <rPr>
        <sz val="11"/>
        <color rgb="FF0000FF"/>
        <rFont val="ＭＳ 明朝"/>
        <family val="1"/>
        <charset val="128"/>
      </rPr>
      <t>検索条件合致データ</t>
    </r>
    <phoneticPr fontId="8"/>
  </si>
  <si>
    <r>
      <t xml:space="preserve">承認状況="3"
</t>
    </r>
    <r>
      <rPr>
        <sz val="11"/>
        <color rgb="FF0000FF"/>
        <rFont val="ＭＳ 明朝"/>
        <family val="1"/>
        <charset val="128"/>
      </rPr>
      <t>検索条件合致データ</t>
    </r>
    <phoneticPr fontId="8"/>
  </si>
  <si>
    <r>
      <t xml:space="preserve">入力区分="4"
</t>
    </r>
    <r>
      <rPr>
        <sz val="11"/>
        <color rgb="FF0000FF"/>
        <rFont val="ＭＳ 明朝"/>
        <family val="1"/>
        <charset val="128"/>
      </rPr>
      <t>検索条件合致データ</t>
    </r>
    <phoneticPr fontId="8"/>
  </si>
  <si>
    <t>1</t>
    <phoneticPr fontId="8"/>
  </si>
  <si>
    <r>
      <t xml:space="preserve">入力区分="5"
</t>
    </r>
    <r>
      <rPr>
        <sz val="11"/>
        <color rgb="FF0000FF"/>
        <rFont val="ＭＳ 明朝"/>
        <family val="1"/>
        <charset val="128"/>
      </rPr>
      <t>検索条件合致データ</t>
    </r>
    <phoneticPr fontId="8"/>
  </si>
  <si>
    <r>
      <t xml:space="preserve">削除区分="1"
</t>
    </r>
    <r>
      <rPr>
        <sz val="11"/>
        <color rgb="FFFF0000"/>
        <rFont val="ＭＳ 明朝"/>
        <family val="1"/>
        <charset val="128"/>
      </rPr>
      <t xml:space="preserve">取得対象外データ
</t>
    </r>
    <rPh sb="9" eb="11">
      <t>シュトク</t>
    </rPh>
    <rPh sb="11" eb="14">
      <t>タイショウガイ</t>
    </rPh>
    <phoneticPr fontId="8"/>
  </si>
  <si>
    <r>
      <t xml:space="preserve">正常
対象年月To(支給日年月と一致)
</t>
    </r>
    <r>
      <rPr>
        <sz val="11"/>
        <color rgb="FF0000FF"/>
        <rFont val="ＭＳ 明朝"/>
        <family val="1"/>
        <charset val="128"/>
      </rPr>
      <t>検索条件合致データ</t>
    </r>
    <rPh sb="3" eb="5">
      <t>タイショウ</t>
    </rPh>
    <rPh sb="10" eb="13">
      <t>シキュウビ</t>
    </rPh>
    <rPh sb="13" eb="15">
      <t>ネンゲツ</t>
    </rPh>
    <rPh sb="16" eb="18">
      <t>イッチ</t>
    </rPh>
    <phoneticPr fontId="8"/>
  </si>
  <si>
    <t>22</t>
    <phoneticPr fontId="8"/>
  </si>
  <si>
    <t>人件費連動情報明細</t>
    <phoneticPr fontId="8"/>
  </si>
  <si>
    <t>DAA301_JinkenhiRendoJohoMeisai</t>
    <phoneticPr fontId="8"/>
  </si>
  <si>
    <t>業種コード</t>
  </si>
  <si>
    <t>所属コード</t>
  </si>
  <si>
    <t>入力区分</t>
  </si>
  <si>
    <t>給与区分</t>
  </si>
  <si>
    <t>給与個所コード</t>
  </si>
  <si>
    <t>人件費科目分類コード</t>
  </si>
  <si>
    <t>人件費科目区分</t>
  </si>
  <si>
    <t>人件費情報入力項目コード</t>
  </si>
  <si>
    <t>金額</t>
  </si>
  <si>
    <t>人件費科目分類補助コード</t>
  </si>
  <si>
    <t>人件費項目区分</t>
  </si>
  <si>
    <t>会負担保険料区分</t>
  </si>
  <si>
    <t>GYOSHU_CD</t>
  </si>
  <si>
    <t>SHOZOKU_CD</t>
  </si>
  <si>
    <t>KYUYO_KBN</t>
  </si>
  <si>
    <t>KYUYO_KASHO_CD</t>
  </si>
  <si>
    <t>JINKENHI_KAMOKU_BUNRUI_CD</t>
  </si>
  <si>
    <t>JINKENHI_KAMOKU_KBN</t>
  </si>
  <si>
    <t>JINKENHI_JOHO_NYURYOKU_KOMOKU_CD</t>
  </si>
  <si>
    <t>KINGAKU</t>
  </si>
  <si>
    <t>JINKENHI_KAMOKU_BUNRUI_HOJO_CD</t>
  </si>
  <si>
    <t>JINKENHI_KOMOKU_KBN</t>
  </si>
  <si>
    <t>KAIFUTAN_HOKENRYO_KBN</t>
  </si>
  <si>
    <t>GS</t>
  </si>
  <si>
    <t>4001</t>
  </si>
  <si>
    <t>KS01</t>
  </si>
  <si>
    <t>KB</t>
  </si>
  <si>
    <t>KK</t>
  </si>
  <si>
    <t>KM01</t>
  </si>
  <si>
    <t>HJ</t>
  </si>
  <si>
    <t>K</t>
  </si>
  <si>
    <t>H</t>
  </si>
  <si>
    <t>KS02</t>
  </si>
  <si>
    <t>取得対象外データ</t>
  </si>
  <si>
    <t>GY</t>
  </si>
  <si>
    <t>KS03</t>
  </si>
  <si>
    <t>GK</t>
  </si>
  <si>
    <t>4002</t>
  </si>
  <si>
    <t>KS04</t>
  </si>
  <si>
    <t>GA</t>
  </si>
  <si>
    <t>4003</t>
  </si>
  <si>
    <t>KS05</t>
  </si>
  <si>
    <t>GB</t>
  </si>
  <si>
    <t>4004</t>
  </si>
  <si>
    <t>KS06</t>
  </si>
  <si>
    <t>4005</t>
  </si>
  <si>
    <t>KS07</t>
  </si>
  <si>
    <t>4006</t>
  </si>
  <si>
    <t>KS08</t>
  </si>
  <si>
    <t>4007</t>
  </si>
  <si>
    <t>KS09</t>
  </si>
  <si>
    <t>4008</t>
  </si>
  <si>
    <t>KS10</t>
  </si>
  <si>
    <t>4009</t>
  </si>
  <si>
    <t>KS11</t>
  </si>
  <si>
    <t>KS12</t>
  </si>
  <si>
    <t>KC</t>
    <phoneticPr fontId="8"/>
  </si>
  <si>
    <t>4012</t>
  </si>
  <si>
    <t>4014</t>
  </si>
  <si>
    <t>4015</t>
  </si>
  <si>
    <t>4016</t>
  </si>
  <si>
    <t>4017</t>
  </si>
  <si>
    <t>0</t>
    <phoneticPr fontId="8"/>
  </si>
  <si>
    <t>人件費情報入力</t>
    <phoneticPr fontId="8"/>
  </si>
  <si>
    <t>DAC213_JinkenhiJohoNyuryoku</t>
    <phoneticPr fontId="8"/>
  </si>
  <si>
    <t>52500</t>
  </si>
  <si>
    <r>
      <t xml:space="preserve">削除区分="1"（入力）
</t>
    </r>
    <r>
      <rPr>
        <sz val="11"/>
        <color rgb="FFFF0000"/>
        <rFont val="ＭＳ 明朝"/>
        <family val="1"/>
        <charset val="128"/>
      </rPr>
      <t xml:space="preserve">取得対象外データ
</t>
    </r>
    <rPh sb="13" eb="15">
      <t>シュトク</t>
    </rPh>
    <rPh sb="15" eb="17">
      <t>タイショウ</t>
    </rPh>
    <rPh sb="17" eb="18">
      <t>ガイ</t>
    </rPh>
    <phoneticPr fontId="8"/>
  </si>
  <si>
    <t>削除区分_x000D_
SAKZYO_KBN</t>
  </si>
  <si>
    <t>排他カウンタ_x000D_
HAITA_CNT</t>
  </si>
  <si>
    <t>作成日時_x000D_
SAKSE_DTM</t>
  </si>
  <si>
    <t>最終更新日時_x000D_
LSTUPD_DTM</t>
  </si>
  <si>
    <t>最終更新者ユーザーID_x000D_
LSTUPD_USER_ID</t>
  </si>
  <si>
    <t>入力日時_x000D_
NYURYOKU_DTM</t>
  </si>
  <si>
    <t>入力者ユーザーID_x000D_
NYURYOKU_USER_ID</t>
  </si>
  <si>
    <t>承認日時_x000D_
SHONIN_DTM</t>
  </si>
  <si>
    <t>承認者ユーザーID_x000D_
SHONIN_USER_ID</t>
  </si>
  <si>
    <t>コード種別コード_x000D_
CDSBT_CD</t>
  </si>
  <si>
    <t>コードデータコード_x000D_
CDDAT_CD</t>
  </si>
  <si>
    <t>適用開始年月日_x000D_
TEKIYO_KAISHIBI</t>
  </si>
  <si>
    <t>適用終了年月日_x000D_
TEKIYO_SHURYOBI</t>
  </si>
  <si>
    <t>コード名称（漢字）_x000D_
CODE_MEI_KJ</t>
  </si>
  <si>
    <t>コード名称（カナ）_x000D_
CODE_MEI_KN</t>
  </si>
  <si>
    <t>コード名称（英数）_x000D_
CODE_MEI_ES</t>
  </si>
  <si>
    <t>DA</t>
    <phoneticPr fontId="8"/>
  </si>
  <si>
    <t>DB</t>
    <phoneticPr fontId="8"/>
  </si>
  <si>
    <t>MO</t>
    <phoneticPr fontId="8"/>
  </si>
  <si>
    <t>ﾚﾝﾄﾞｳｻｷｼｽﾃﾑｶﾝﾘｺｰﾄﾞﾃｽﾄ</t>
    <phoneticPr fontId="8"/>
  </si>
  <si>
    <t>SA</t>
    <phoneticPr fontId="8"/>
  </si>
  <si>
    <t>差戻</t>
    <phoneticPr fontId="8"/>
  </si>
  <si>
    <t>下書保存</t>
    <phoneticPr fontId="8"/>
  </si>
  <si>
    <t>承認依頼中</t>
    <phoneticPr fontId="8"/>
  </si>
  <si>
    <t>承認済</t>
    <phoneticPr fontId="8"/>
  </si>
  <si>
    <t>V_ユーザー情報（会内）</t>
  </si>
  <si>
    <t>V_ACA201_UserDatKainai</t>
  </si>
  <si>
    <t>アカウント</t>
  </si>
  <si>
    <t>職員番号</t>
  </si>
  <si>
    <t>姓（漢字）</t>
  </si>
  <si>
    <t>名（漢字）</t>
  </si>
  <si>
    <t>表示名（漢字）</t>
  </si>
  <si>
    <t>姓（全角カナ）</t>
  </si>
  <si>
    <t>名（全角カナ）</t>
  </si>
  <si>
    <t>表示名（全角カナ）</t>
  </si>
  <si>
    <t>姓（半角カナ）</t>
  </si>
  <si>
    <t>名（半角カナ）</t>
  </si>
  <si>
    <t>表示名（半角カナ）</t>
  </si>
  <si>
    <t>システム権限CD</t>
  </si>
  <si>
    <t>購買用システム権限CD</t>
  </si>
  <si>
    <t>職員アドレス表示区分</t>
  </si>
  <si>
    <t>職員アドレス表示順</t>
  </si>
  <si>
    <t>全会ポータル使用区分</t>
  </si>
  <si>
    <t>職員区分</t>
  </si>
  <si>
    <t>職種</t>
  </si>
  <si>
    <t>所属主務CD</t>
  </si>
  <si>
    <t>職位主務CD</t>
  </si>
  <si>
    <t>事業所主務CD</t>
  </si>
  <si>
    <t>事業本部主務CD</t>
  </si>
  <si>
    <t>部主務CD</t>
  </si>
  <si>
    <t>課主務CD</t>
  </si>
  <si>
    <t>施設主務CD</t>
  </si>
  <si>
    <t>施設課主務CD</t>
  </si>
  <si>
    <t>所属兼務1CD</t>
  </si>
  <si>
    <t>職位兼務1CD</t>
  </si>
  <si>
    <t>事業所兼務1CD</t>
  </si>
  <si>
    <t>事業本部兼務1CD</t>
  </si>
  <si>
    <t>部兼務1CD</t>
  </si>
  <si>
    <t>課兼務1CD</t>
  </si>
  <si>
    <t>施設兼務1CD</t>
  </si>
  <si>
    <t>施設課兼務1CD</t>
  </si>
  <si>
    <t>所属兼務2CD</t>
  </si>
  <si>
    <t>職位兼務2CD</t>
  </si>
  <si>
    <t>事業所兼務2CD</t>
  </si>
  <si>
    <t>事業本部兼務2CD</t>
  </si>
  <si>
    <t>部兼務2CD</t>
  </si>
  <si>
    <t>課兼務2CD</t>
  </si>
  <si>
    <t>施設兼務2CD</t>
  </si>
  <si>
    <t>施設課兼務2CD</t>
  </si>
  <si>
    <t>所属兼務3CD</t>
  </si>
  <si>
    <t>職位兼務3CD</t>
  </si>
  <si>
    <t>事業所兼務3CD</t>
  </si>
  <si>
    <t>事業本部兼務3CD</t>
  </si>
  <si>
    <t>部兼務3CD</t>
  </si>
  <si>
    <t>課兼務3CD</t>
  </si>
  <si>
    <t>施設兼務3CD</t>
  </si>
  <si>
    <t>施設課兼務3CD</t>
  </si>
  <si>
    <t>出向先CD</t>
  </si>
  <si>
    <t>出向先名</t>
  </si>
  <si>
    <t>出向先略称</t>
  </si>
  <si>
    <t>退職日</t>
  </si>
  <si>
    <t>メールアドレス区分</t>
  </si>
  <si>
    <t>メールアドレス</t>
  </si>
  <si>
    <t>メールアドレス変更予定</t>
  </si>
  <si>
    <t>旧姓使用区分</t>
  </si>
  <si>
    <t>旧姓漢字姓</t>
  </si>
  <si>
    <t>旧姓漢字名</t>
  </si>
  <si>
    <t>旧姓カナ姓</t>
  </si>
  <si>
    <t>旧姓カナ名</t>
  </si>
  <si>
    <t>旧姓変更日</t>
  </si>
  <si>
    <t>所属コード（所属課以外１）</t>
  </si>
  <si>
    <t>事業所コード（所属課以外１）</t>
  </si>
  <si>
    <t>事業本部コード（所属課以外１）</t>
  </si>
  <si>
    <t>部コード（所属課以外１）</t>
  </si>
  <si>
    <t>課コード（所属課以外１）</t>
  </si>
  <si>
    <t>施設コード（所属課以外１）</t>
  </si>
  <si>
    <t>施設課コード（所属課以外１）</t>
  </si>
  <si>
    <t>ファイル共有要否（所属課以外１）</t>
  </si>
  <si>
    <t>適用開始年月日（所属課以外１）</t>
  </si>
  <si>
    <t>適用終了年月日（所属課以外１）</t>
  </si>
  <si>
    <t>所属コード（所属課以外２）</t>
  </si>
  <si>
    <t>事業所コード（所属課以外２）</t>
  </si>
  <si>
    <t>事業本部コード（所属課以外２）</t>
  </si>
  <si>
    <t>部コード（所属課以外２）</t>
  </si>
  <si>
    <t>課コード（所属課以外２）</t>
  </si>
  <si>
    <t>施設コード（所属課以外２）</t>
  </si>
  <si>
    <t>施設課コード（所属課以外２）</t>
  </si>
  <si>
    <t>ファイル共有要否（所属課以外２）</t>
  </si>
  <si>
    <t>適用開始年月日（所属課以外２）</t>
  </si>
  <si>
    <t>適用終了年月日（所属課以外２）</t>
  </si>
  <si>
    <t>所属コード（所属課以外３）</t>
  </si>
  <si>
    <t>事業所コード（所属課以外３）</t>
  </si>
  <si>
    <t>事業本部コード（所属課以外３）</t>
  </si>
  <si>
    <t>部コード（所属課以外３）</t>
  </si>
  <si>
    <t>課コード（所属課以外３）</t>
  </si>
  <si>
    <t>施設コード（所属課以外３）</t>
  </si>
  <si>
    <t>施設課コード（所属課以外３）</t>
  </si>
  <si>
    <t>ファイル共有要否（所属課以外３）</t>
  </si>
  <si>
    <t>適用開始年月日（所属課以外３）</t>
  </si>
  <si>
    <t>適用終了年月日（所属課以外３）</t>
  </si>
  <si>
    <t>格納先ＯＵ</t>
  </si>
  <si>
    <t>説明</t>
  </si>
  <si>
    <t>ユーザーログオン名</t>
  </si>
  <si>
    <t>ユーザーログオン名(Windows 2000より前)</t>
  </si>
  <si>
    <t>ログオン先コンピューター名</t>
  </si>
  <si>
    <t>アカウント有効</t>
  </si>
  <si>
    <t>アカウントの期限</t>
  </si>
  <si>
    <t>役職</t>
  </si>
  <si>
    <t>グループウェア使用可否</t>
  </si>
  <si>
    <t>携帯電話番号</t>
  </si>
  <si>
    <t>Extension Attribute 1</t>
  </si>
  <si>
    <t>Extension Attribute 10</t>
  </si>
  <si>
    <t>mailNickname</t>
  </si>
  <si>
    <t>ACCOUNT</t>
  </si>
  <si>
    <t>SHOKUIN_NO</t>
  </si>
  <si>
    <t>SEI_KJ</t>
  </si>
  <si>
    <t>MEI_KJ</t>
  </si>
  <si>
    <t>HYOJIMEI_KJ</t>
  </si>
  <si>
    <t>SEI_ZENKAKU_KN</t>
  </si>
  <si>
    <t>MEI_ZENKAKU_KN</t>
  </si>
  <si>
    <t>HYOJIMEI_ZENKAKU_KN</t>
  </si>
  <si>
    <t>SEI_HANKAKU_KN</t>
  </si>
  <si>
    <t>MEI_HANKAKU_KN</t>
  </si>
  <si>
    <t>HYOJIMEI_HANKAKU_KN</t>
  </si>
  <si>
    <t>SHISUTEMU_KENGEN_CD</t>
  </si>
  <si>
    <t>KOUBAIYOU_SHISUTEMU_KENGEN_CD</t>
  </si>
  <si>
    <t>SHOKUIN_ADRESU_HYOJI_KBN</t>
  </si>
  <si>
    <t>SHOKUIN_ADRESU_HYOJIJUN</t>
  </si>
  <si>
    <t>ZENKAI_POTARU_SHIYO_KBN</t>
  </si>
  <si>
    <t>SHOKUIN_KBN</t>
  </si>
  <si>
    <t>SHOKUSHI</t>
  </si>
  <si>
    <t>SHOZOKU_SHUMU_CD</t>
  </si>
  <si>
    <t>SYOKUI_SHUMU_CD</t>
  </si>
  <si>
    <t>ZIGYOSYO_SHUMU_CD</t>
  </si>
  <si>
    <t>JIGYOHNB_SHUMU_CD</t>
  </si>
  <si>
    <t>BU_SHUMU_CD</t>
  </si>
  <si>
    <t>KA_SHUMU_CD</t>
  </si>
  <si>
    <t>SISETU_SHUMU_CD</t>
  </si>
  <si>
    <t>SISETU_KA_SHUMU_CD</t>
  </si>
  <si>
    <t>SHOZOKU_KENMU_1_CD</t>
  </si>
  <si>
    <t>SYOKUI_KENMU_1_CD</t>
  </si>
  <si>
    <t>ZIGYOSYO_KENMU_1_CD</t>
  </si>
  <si>
    <t>JIGYOHNB_KENMU_1_CD</t>
  </si>
  <si>
    <t>BU_KENMU_1_CD</t>
  </si>
  <si>
    <t>KA_KENMU_1_CD</t>
  </si>
  <si>
    <t>SISETU_KENMU_1_CD</t>
  </si>
  <si>
    <t>SISETU_KA_KENMU_1_CD</t>
  </si>
  <si>
    <t>SHOZOKU_KENMU_2_CD</t>
  </si>
  <si>
    <t>SYOKUI_KENMU_2_CD</t>
  </si>
  <si>
    <t>ZIGYOSYO_KENMU_2_CD</t>
  </si>
  <si>
    <t>JIGYOHNB_KENMU_2_CD</t>
  </si>
  <si>
    <t>BU_KENMU_2_CD</t>
  </si>
  <si>
    <t>KA_KENMU_2_CD</t>
  </si>
  <si>
    <t>SISETU_KENMU_2_CD</t>
  </si>
  <si>
    <t>SISETU_KA_KENMU_2_CD</t>
  </si>
  <si>
    <t>SHOZOKU_KENMU_3_CD</t>
  </si>
  <si>
    <t>SYOKUI_KENMU_3_CD</t>
  </si>
  <si>
    <t>ZIGYOSYO_KENMU_3_CD</t>
  </si>
  <si>
    <t>JIGYOHNB_KENMU_3_CD</t>
  </si>
  <si>
    <t>BU_KENMU_3_CD</t>
  </si>
  <si>
    <t>KA_KENMU_3_CD</t>
  </si>
  <si>
    <t>SISETU_KENMU_3_CD</t>
  </si>
  <si>
    <t>SISETU_KA_KENMU_3_CD</t>
  </si>
  <si>
    <t>SYUKOSAKI_CD</t>
  </si>
  <si>
    <t>SYUKOSAKI_NAME</t>
  </si>
  <si>
    <t>SYUKOSAKI_YKM</t>
  </si>
  <si>
    <t>TAISHOKUBI</t>
  </si>
  <si>
    <t>MAIL_ADDRESS_BUNRUI</t>
  </si>
  <si>
    <t>MAIL_ADDRESS</t>
  </si>
  <si>
    <t>MAIL_ADDRESS_HENKO_YOTEI</t>
  </si>
  <si>
    <t>KYU_SEIMEI_SHIYO_KBN</t>
  </si>
  <si>
    <t>KYU_KJ_SHIMEI_SEI</t>
  </si>
  <si>
    <t>KYU_KJ_SHIMEI_MEI</t>
  </si>
  <si>
    <t>KYU_KN_SHIMEI_SEI</t>
  </si>
  <si>
    <t>KYU_KN_SHIMEI_MEI</t>
  </si>
  <si>
    <t>KYU_SEIMEI_HENKOBI</t>
  </si>
  <si>
    <t>SHOZOKU_KA_IGAI_1_CD</t>
  </si>
  <si>
    <t>JIGYOSHO_SHOZOKU_KA_IGAI_1_CD</t>
  </si>
  <si>
    <t>JIGYOHNB_SHOZOKU_KA_IGAI_1_CD</t>
  </si>
  <si>
    <t>BU_SHOZOKU_KA_IGAI_1_CD</t>
  </si>
  <si>
    <t>KA_SHOZOKU_KA_IGAI_1_CD</t>
  </si>
  <si>
    <t>SHIST_SHOZOKU_KA_IGAI_1_CD</t>
  </si>
  <si>
    <t>SHIST_KA_CD__SHOZOKU_KA_IGAI_1</t>
  </si>
  <si>
    <t>FILE_KYOYU_YOHI_SHOZOKU_KA_IGAI_1</t>
  </si>
  <si>
    <t>TEKIYO_KAISHIBI_SHOZOKU_KA_IGAI_1</t>
  </si>
  <si>
    <t>TEKIYO_SHURYOBI_SHOZOKU_KA_IGAI_1</t>
  </si>
  <si>
    <t>SHOZOKU_KA_IGAI_2_CD</t>
  </si>
  <si>
    <t>JIGYOSHO_SHOZOKU_KA_IGAI_2_CD</t>
  </si>
  <si>
    <t>JIGYOHNB_SHOZOKU_KA_IGAI_2_CD</t>
  </si>
  <si>
    <t>BU_SHOZOKU_KA_IGAI_2_CD</t>
  </si>
  <si>
    <t>KA_SHOZOKU_KA_IGAI_2_CD</t>
  </si>
  <si>
    <t>SHIST_SHOZOKU_KA_IGAI_2_CD</t>
  </si>
  <si>
    <t>SHIST_KA_CD__SHOZOKU_KA_IGAI_2</t>
  </si>
  <si>
    <t>FILE_KYOYU_YOHI_SHOZOKU_KA_IGAI_2</t>
  </si>
  <si>
    <t>TEKIYO_KAISHIBI_SHOZOKU_KA_IGAI_2</t>
  </si>
  <si>
    <t>TEKIYO_SHURYOBI_SHOZOKU_KA_IGAI_2</t>
  </si>
  <si>
    <t>SHOZOKU_KA_IGAI_3_CD</t>
  </si>
  <si>
    <t>JIGYOSHO_SHOZOKU_KA_IGAI_3_CD</t>
  </si>
  <si>
    <t>JIGYOHNB_SHOZOKU_KA_IGAI_3_CD</t>
  </si>
  <si>
    <t>BU_SHOZOKU_KA_IGAI_3_CD</t>
  </si>
  <si>
    <t>KA_SHOZOKU_KA_IGAI_3_CD</t>
  </si>
  <si>
    <t>SHIST_SHOZOKU_KA_IGAI_3_CD</t>
  </si>
  <si>
    <t>SHIST_KA_CD__SHOZOKU_KA_IGAI_3</t>
  </si>
  <si>
    <t>FILE_KYOYU_YOHI_SHOZOKU_KA_IGAI_3</t>
  </si>
  <si>
    <t>TEKIYO_KAISHIBI_SHOZOKU_KA_IGAI_3</t>
  </si>
  <si>
    <t>TEKIYO_SHURYOBI_SHOZOKU_KA_IGAI_3</t>
  </si>
  <si>
    <t>KAKUNOSAKI_OU</t>
  </si>
  <si>
    <t>SETSUMEI</t>
  </si>
  <si>
    <t>USER_LOGON_MEI</t>
  </si>
  <si>
    <t>USER_LOGON_MEI_WINDOWS2000_YORIMAE</t>
  </si>
  <si>
    <t>LOGON_SAKI_COMPUTER_MEI</t>
  </si>
  <si>
    <t>ACCOUNT_YUKO</t>
  </si>
  <si>
    <t>ACCOUNT_KIGEN</t>
  </si>
  <si>
    <t>YAKUSHOKU</t>
  </si>
  <si>
    <t>GROUPWARE_SHIYO_KBN</t>
  </si>
  <si>
    <t>KEITAI_NO</t>
  </si>
  <si>
    <t>EXTENSION_ATTRIBUTE_1</t>
  </si>
  <si>
    <t>EXTENSION_ATTRIBUTE_10</t>
  </si>
  <si>
    <t>MAIL_NICK_NAME</t>
  </si>
  <si>
    <t>2026-11-02 09:17:13.000000</t>
  </si>
  <si>
    <t>2026-11-02 20:37:13.000000</t>
  </si>
  <si>
    <t>2026-10-02 10:27:13.000000</t>
  </si>
  <si>
    <t>田中</t>
  </si>
  <si>
    <t>太郎</t>
  </si>
  <si>
    <t>D001</t>
  </si>
  <si>
    <t>部長</t>
  </si>
  <si>
    <t>2026-12-03 11:24:26.000000</t>
  </si>
  <si>
    <t>2026-12-03 22:44:26.000000</t>
  </si>
  <si>
    <t>鈴木</t>
  </si>
  <si>
    <t>花子</t>
  </si>
  <si>
    <t>鈴木花子</t>
  </si>
  <si>
    <t>課長</t>
  </si>
  <si>
    <t>2026-01-04 13:31:39.000000</t>
  </si>
  <si>
    <t>2026-01-04 00:51:39.000000</t>
  </si>
  <si>
    <t>佐藤</t>
  </si>
  <si>
    <t>次郎</t>
  </si>
  <si>
    <t>係長</t>
  </si>
  <si>
    <r>
      <t xml:space="preserve">金額=null
</t>
    </r>
    <r>
      <rPr>
        <sz val="11"/>
        <color rgb="FFFF0000"/>
        <rFont val="ＭＳ 明朝"/>
        <family val="1"/>
        <charset val="128"/>
      </rPr>
      <t>取得対象外データ</t>
    </r>
    <rPh sb="0" eb="2">
      <t>キンガク</t>
    </rPh>
    <phoneticPr fontId="8"/>
  </si>
  <si>
    <t>対象年月From</t>
    <rPh sb="0" eb="2">
      <t>タイショウ</t>
    </rPh>
    <rPh sb="2" eb="4">
      <t>ネンゲツ</t>
    </rPh>
    <phoneticPr fontId="7"/>
  </si>
  <si>
    <t>対象年月To</t>
    <rPh sb="0" eb="2">
      <t>タイショウ</t>
    </rPh>
    <rPh sb="2" eb="4">
      <t>ネンゲツ</t>
    </rPh>
    <phoneticPr fontId="7"/>
  </si>
  <si>
    <t>承認状況</t>
  </si>
  <si>
    <t>承認状況</t>
    <rPh sb="0" eb="2">
      <t>ショウニン</t>
    </rPh>
    <rPh sb="2" eb="4">
      <t>ジョウキョウ</t>
    </rPh>
    <phoneticPr fontId="7"/>
  </si>
  <si>
    <t>更新日</t>
  </si>
  <si>
    <t>更新者</t>
  </si>
  <si>
    <t>連動データ総件数</t>
  </si>
  <si>
    <t>修正総件数</t>
  </si>
  <si>
    <t>4.会負担年金</t>
    <phoneticPr fontId="8"/>
  </si>
  <si>
    <t>5.預貯金</t>
    <phoneticPr fontId="8"/>
  </si>
  <si>
    <t>差戻</t>
  </si>
  <si>
    <t>下書保存</t>
  </si>
  <si>
    <t>承認依頼中</t>
  </si>
  <si>
    <t>承認済</t>
  </si>
  <si>
    <t>取下</t>
  </si>
  <si>
    <t>​(NULL)​</t>
  </si>
  <si>
    <t>KC</t>
  </si>
  <si>
    <t>KO</t>
  </si>
  <si>
    <t>KM02</t>
  </si>
  <si>
    <t>4013</t>
  </si>
  <si>
    <t>6</t>
  </si>
  <si>
    <t>4010</t>
  </si>
  <si>
    <t>4011</t>
  </si>
  <si>
    <t>4018</t>
  </si>
  <si>
    <t>KS13</t>
  </si>
  <si>
    <t>KN</t>
  </si>
  <si>
    <t>KS15</t>
  </si>
  <si>
    <t>KE</t>
  </si>
  <si>
    <t>KS16</t>
  </si>
  <si>
    <t>4019</t>
  </si>
  <si>
    <t>DAA055</t>
    <phoneticPr fontId="8"/>
  </si>
  <si>
    <t>給与支給</t>
  </si>
  <si>
    <t>給与控除</t>
  </si>
  <si>
    <t>会負担健保A</t>
    <phoneticPr fontId="65"/>
  </si>
  <si>
    <t>会負担年金</t>
  </si>
  <si>
    <t>預貯金</t>
  </si>
  <si>
    <t>会負担健保B</t>
    <phoneticPr fontId="8"/>
  </si>
  <si>
    <t>会負担健保C</t>
    <phoneticPr fontId="65"/>
  </si>
  <si>
    <t>DAA001</t>
    <phoneticPr fontId="8"/>
  </si>
  <si>
    <t>承認依頼中A</t>
    <phoneticPr fontId="65"/>
  </si>
  <si>
    <t>承認依頼中B</t>
    <phoneticPr fontId="65"/>
  </si>
  <si>
    <t>承認依頼中C</t>
    <phoneticPr fontId="65"/>
  </si>
  <si>
    <t>0</t>
    <phoneticPr fontId="65"/>
  </si>
  <si>
    <t>20260101</t>
    <phoneticPr fontId="65"/>
  </si>
  <si>
    <t>20260131</t>
    <phoneticPr fontId="65"/>
  </si>
  <si>
    <t>田中太郎A</t>
    <phoneticPr fontId="65"/>
  </si>
  <si>
    <t>鈴木花子A</t>
    <phoneticPr fontId="65"/>
  </si>
  <si>
    <t>佐藤次郎A</t>
    <phoneticPr fontId="65"/>
  </si>
  <si>
    <t>1</t>
    <phoneticPr fontId="65"/>
  </si>
  <si>
    <t>20250102</t>
    <phoneticPr fontId="65"/>
  </si>
  <si>
    <t>20260201</t>
    <phoneticPr fontId="65"/>
  </si>
  <si>
    <t>20260228</t>
    <phoneticPr fontId="65"/>
  </si>
  <si>
    <t>田中太郎B</t>
    <phoneticPr fontId="65"/>
  </si>
  <si>
    <t>鈴木花子B</t>
    <phoneticPr fontId="65"/>
  </si>
  <si>
    <t>佐藤次郎B</t>
    <phoneticPr fontId="65"/>
  </si>
  <si>
    <t>DAC2015_LaborCostInfoEntryListDetailDto</t>
    <phoneticPr fontId="8"/>
  </si>
  <si>
    <t>人件費情報入力一覧明細Dto</t>
    <phoneticPr fontId="8"/>
  </si>
  <si>
    <t>選択ＩＤ</t>
  </si>
  <si>
    <t>入力区分コード</t>
  </si>
  <si>
    <t>入力区分名称</t>
  </si>
  <si>
    <t>伝票番号（給与控除）</t>
  </si>
  <si>
    <t>申請番号（給与控除）</t>
  </si>
  <si>
    <t>排他カウンタ（給与控除）</t>
  </si>
  <si>
    <t>LocalDate</t>
  </si>
  <si>
    <t>selectionId</t>
  </si>
  <si>
    <t>shoninJokyoKbn</t>
  </si>
  <si>
    <t>shoninJokyo</t>
  </si>
  <si>
    <t>koshinbi</t>
  </si>
  <si>
    <t>keiribi</t>
  </si>
  <si>
    <t>koshinsha</t>
  </si>
  <si>
    <t>shikyubi</t>
  </si>
  <si>
    <t>nyuryokuKbnCd</t>
  </si>
  <si>
    <t>nyuryokuKbnMeisho</t>
  </si>
  <si>
    <t>rendoDataSokensu</t>
  </si>
  <si>
    <t>shuseiSokensu</t>
  </si>
  <si>
    <t>dempyoNo</t>
  </si>
  <si>
    <t>shinseiNo</t>
  </si>
  <si>
    <t>haitaCnt</t>
  </si>
  <si>
    <t>dempyoNoKyuyoKojo</t>
  </si>
  <si>
    <t>shinseiNoKyuyoKojo</t>
  </si>
  <si>
    <t>haitaCntKyuyoKojo</t>
  </si>
  <si>
    <t>DAC2015_LaborCostInfoEntrySearchDto</t>
    <phoneticPr fontId="8"/>
  </si>
  <si>
    <t>人件費情報入力検索条件Dto</t>
    <phoneticPr fontId="8"/>
  </si>
  <si>
    <t>対象年月（From）</t>
  </si>
  <si>
    <t>対象年月（To）</t>
  </si>
  <si>
    <t>承認状況（未修正）</t>
  </si>
  <si>
    <t>承認状況（差戻）</t>
  </si>
  <si>
    <t>承認状況（下書保存）</t>
  </si>
  <si>
    <t>承認状況（依頼中）</t>
  </si>
  <si>
    <t>承認状況（承認済）</t>
  </si>
  <si>
    <t>boolean</t>
  </si>
  <si>
    <t>taishoNengetsuFrom</t>
  </si>
  <si>
    <t>taishoNengetsuTo</t>
  </si>
  <si>
    <t>shoninJokyoMishusei</t>
  </si>
  <si>
    <t>shoninJokyoSashimodoshi</t>
  </si>
  <si>
    <t>shoninJokyoShitagakiHozon</t>
  </si>
  <si>
    <t>shoninJokyoShoninIraichu</t>
  </si>
  <si>
    <t>shoninJokyoShoninzumi</t>
  </si>
  <si>
    <t>202602</t>
    <phoneticPr fontId="8"/>
  </si>
  <si>
    <t>202601</t>
    <phoneticPr fontId="8"/>
  </si>
  <si>
    <t>検索条件合致データ</t>
    <rPh sb="2" eb="5">
      <t>チュウカンチ</t>
    </rPh>
    <phoneticPr fontId="8"/>
  </si>
  <si>
    <t>検索条件不一致データ</t>
    <rPh sb="0" eb="2">
      <t>ケンサク</t>
    </rPh>
    <rPh sb="2" eb="4">
      <t>ジョウケン</t>
    </rPh>
    <rPh sb="4" eb="7">
      <t>フイッチ</t>
    </rPh>
    <phoneticPr fontId="8"/>
  </si>
  <si>
    <t>未修正</t>
    <rPh sb="0" eb="3">
      <t>ミシュウセイ</t>
    </rPh>
    <phoneticPr fontId="8"/>
  </si>
  <si>
    <t>1.給与支給&lt;br&gt;2.給与控除</t>
    <phoneticPr fontId="8"/>
  </si>
  <si>
    <t>承認済</t>
    <rPh sb="2" eb="3">
      <t>ズミ</t>
    </rPh>
    <phoneticPr fontId="8"/>
  </si>
  <si>
    <t>3.会負担健保</t>
  </si>
  <si>
    <t>3.会負担健保A</t>
    <phoneticPr fontId="8"/>
  </si>
  <si>
    <t>3.会負担健保B</t>
    <phoneticPr fontId="8"/>
  </si>
  <si>
    <t>出力</t>
    <rPh sb="0" eb="2">
      <t>シュツリョク</t>
    </rPh>
    <phoneticPr fontId="8"/>
  </si>
  <si>
    <t>DAC2015_LaborCostInfoEntryBasicInputDto</t>
    <phoneticPr fontId="8"/>
  </si>
  <si>
    <t>人件費情報基本入力Dto</t>
    <phoneticPr fontId="8"/>
  </si>
  <si>
    <t>添付ファイル１</t>
  </si>
  <si>
    <t>添付ファイル２</t>
  </si>
  <si>
    <t>添付ファイル３</t>
  </si>
  <si>
    <t>添付ファイル数</t>
  </si>
  <si>
    <t>org.primefaces.model.file.UploadedFile</t>
  </si>
  <si>
    <t>tenpuFileId1</t>
  </si>
  <si>
    <t>tenpuFile1</t>
  </si>
  <si>
    <t>tenpuFileId2</t>
  </si>
  <si>
    <t>tenpuFile2</t>
  </si>
  <si>
    <t>tenpuFileId3</t>
  </si>
  <si>
    <t>tenpuFile3</t>
  </si>
  <si>
    <t>tenpuFileSuu</t>
  </si>
  <si>
    <t>sanshoUrl</t>
  </si>
  <si>
    <t>条件が合致するデータを取得できる</t>
    <rPh sb="0" eb="2">
      <t>ジョウケン</t>
    </rPh>
    <rPh sb="3" eb="5">
      <t>ガッチ</t>
    </rPh>
    <rPh sb="11" eb="13">
      <t>シュトク</t>
    </rPh>
    <phoneticPr fontId="8"/>
  </si>
  <si>
    <t>https://example.com/ref/tc06</t>
    <phoneticPr fontId="8"/>
  </si>
  <si>
    <t>32</t>
    <phoneticPr fontId="8"/>
  </si>
  <si>
    <t>42</t>
    <phoneticPr fontId="8"/>
  </si>
  <si>
    <t>2026/01/05</t>
    <phoneticPr fontId="8"/>
  </si>
  <si>
    <t>人件費情報入力一覧明細Dto</t>
    <rPh sb="0" eb="3">
      <t>ジンケンヒ</t>
    </rPh>
    <rPh sb="3" eb="5">
      <t>ジョウホウ</t>
    </rPh>
    <rPh sb="5" eb="7">
      <t>ニュウリョク</t>
    </rPh>
    <rPh sb="7" eb="9">
      <t>イチラン</t>
    </rPh>
    <rPh sb="9" eb="11">
      <t>メイサイ</t>
    </rPh>
    <phoneticPr fontId="7"/>
  </si>
  <si>
    <t>一件目データを選択する</t>
    <rPh sb="0" eb="2">
      <t>イッケン</t>
    </rPh>
    <rPh sb="2" eb="3">
      <t>メ</t>
    </rPh>
    <rPh sb="7" eb="9">
      <t>センタク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</si>
</sst>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* #,##0.00_);_(* \(#,##0.00\);_(* &quot;-&quot;??_);_(@_)"/>
    <numFmt numFmtId="177" formatCode="0_ "/>
    <numFmt numFmtId="178" formatCode="&quot;$&quot;#,##0_);\(&quot;$&quot;#,##0\)"/>
    <numFmt numFmtId="179" formatCode="#,##0;\-#,##0;&quot;-&quot;"/>
    <numFmt numFmtId="180" formatCode="&quot;$&quot;#,##0;[Red]\-&quot;$&quot;#,##0"/>
    <numFmt numFmtId="181" formatCode="&quot;$&quot;#,##0.00;[Red]\-&quot;$&quot;#,##0.00"/>
    <numFmt numFmtId="182" formatCode="0.0000000000"/>
    <numFmt numFmtId="184" formatCode="yyyy/mm/dd\ hh:mm:ss"/>
    <numFmt numFmtId="185" formatCode="yyyy/mm/dd"/>
    <numFmt numFmtId="188" formatCode="yyyy/mm/dd\ h:mm:ss"/>
  </numFmts>
  <fonts count="68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9"/>
      <name val="ＭＳ 明朝"/>
      <family val="1"/>
      <charset val="128"/>
    </font>
    <font>
      <sz val="6"/>
      <name val="ＭＳ 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・団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28"/>
      <name val="ＭＳ Ｐゴシック"/>
      <family val="3"/>
      <charset val="128"/>
    </font>
    <font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1"/>
      <color indexed="22"/>
      <name val="ＭＳ Ｐゴシック"/>
      <family val="3"/>
      <charset val="128"/>
    </font>
    <font>
      <sz val="10"/>
      <name val="ＭＳ Ｐ明朝"/>
      <family val="1"/>
      <charset val="128"/>
    </font>
    <font>
      <b/>
      <sz val="10"/>
      <name val="MS Sans Serif"/>
      <family val="2"/>
    </font>
    <font>
      <sz val="10"/>
      <color indexed="8"/>
      <name val="Arial"/>
      <family val="2"/>
    </font>
    <font>
      <b/>
      <sz val="10"/>
      <name val="Helv"/>
      <family val="2"/>
    </font>
    <font>
      <sz val="10"/>
      <name val="MS Sans Serif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14"/>
      <name val="ＭＳ 明朝"/>
      <family val="1"/>
      <charset val="128"/>
    </font>
    <font>
      <sz val="11"/>
      <color theme="1"/>
      <name val="ＭＳ Ｐゴシック"/>
      <family val="3"/>
      <charset val="128"/>
    </font>
    <font>
      <sz val="14"/>
      <color theme="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b/>
      <sz val="22"/>
      <name val="ＭＳ Ｐゴシック"/>
      <family val="3"/>
      <charset val="128"/>
    </font>
    <font>
      <sz val="11"/>
      <color rgb="FF0000FF"/>
      <name val="ＭＳ 明朝"/>
      <family val="1"/>
      <charset val="128"/>
    </font>
    <font>
      <sz val="11"/>
      <color rgb="FFFF0000"/>
      <name val="ＭＳ 明朝"/>
      <family val="1"/>
      <charset val="128"/>
    </font>
    <font>
      <sz val="10"/>
      <color rgb="FF0000FF"/>
      <name val="ＭＳ Ｐゴシック"/>
      <family val="3"/>
      <charset val="128"/>
    </font>
    <font>
      <sz val="11"/>
      <color rgb="FF000000"/>
      <name val="ＭＳ 明朝"/>
      <family val="1"/>
      <charset val="128"/>
    </font>
    <font>
      <sz val="12"/>
      <name val="ＭＳ 明朝"/>
      <family val="1"/>
      <charset val="128"/>
    </font>
    <font>
      <b/>
      <sz val="11"/>
      <color rgb="FF00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000000"/>
      <name val="ＭＳ ゴシック"/>
      <family val="3"/>
      <charset val="128"/>
    </font>
    <font>
      <sz val="11"/>
      <name val="ＭＳ Ｐゴシック"/>
      <family val="3"/>
      <charset val="128"/>
      <scheme val="minor"/>
    </font>
    <font>
      <u/>
      <sz val="11"/>
      <color theme="10"/>
      <name val="ＭＳ ゴシック"/>
      <family val="3"/>
      <charset val="128"/>
    </font>
    <font>
      <b/>
      <sz val="11"/>
      <color rgb="FFFF0000"/>
      <name val="ＭＳ ゴシック"/>
      <family val="3"/>
      <charset val="128"/>
    </font>
    <font>
      <sz val="11"/>
      <color rgb="FF7F878F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87E7AD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5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37">
    <xf numFmtId="0" fontId="0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35" fillId="0" borderId="0">
      <alignment vertical="center" wrapText="1"/>
    </xf>
    <xf numFmtId="178" fontId="36" fillId="0" borderId="1" applyAlignment="0" applyProtection="0"/>
    <xf numFmtId="179" fontId="37" fillId="0" borderId="0" applyFill="0" applyBorder="0" applyAlignment="0"/>
    <xf numFmtId="0" fontId="38" fillId="0" borderId="0"/>
    <xf numFmtId="38" fontId="39" fillId="0" borderId="0" applyFont="0" applyFill="0" applyBorder="0" applyAlignment="0" applyProtection="0"/>
    <xf numFmtId="176" fontId="40" fillId="0" borderId="0" applyFont="0" applyFill="0" applyBorder="0" applyAlignment="0" applyProtection="0"/>
    <xf numFmtId="180" fontId="39" fillId="0" borderId="0" applyFont="0" applyFill="0" applyBorder="0" applyAlignment="0" applyProtection="0"/>
    <xf numFmtId="181" fontId="39" fillId="0" borderId="0" applyFont="0" applyFill="0" applyBorder="0" applyAlignment="0" applyProtection="0"/>
    <xf numFmtId="38" fontId="41" fillId="16" borderId="0" applyNumberFormat="0" applyBorder="0" applyAlignment="0" applyProtection="0"/>
    <xf numFmtId="0" fontId="42" fillId="0" borderId="0">
      <alignment horizontal="left"/>
    </xf>
    <xf numFmtId="0" fontId="43" fillId="0" borderId="2" applyNumberFormat="0" applyAlignment="0" applyProtection="0">
      <alignment horizontal="left" vertical="center"/>
    </xf>
    <xf numFmtId="0" fontId="43" fillId="0" borderId="3">
      <alignment horizontal="left" vertical="center"/>
    </xf>
    <xf numFmtId="10" fontId="41" fillId="16" borderId="4" applyNumberFormat="0" applyBorder="0" applyAlignment="0" applyProtection="0"/>
    <xf numFmtId="0" fontId="44" fillId="0" borderId="5"/>
    <xf numFmtId="182" fontId="11" fillId="0" borderId="0"/>
    <xf numFmtId="182" fontId="11" fillId="0" borderId="0"/>
    <xf numFmtId="182" fontId="11" fillId="0" borderId="0"/>
    <xf numFmtId="0" fontId="40" fillId="0" borderId="0"/>
    <xf numFmtId="10" fontId="40" fillId="0" borderId="0" applyFont="0" applyFill="0" applyBorder="0" applyAlignment="0" applyProtection="0"/>
    <xf numFmtId="0" fontId="39" fillId="0" borderId="0" applyNumberFormat="0" applyFont="0" applyFill="0" applyBorder="0" applyAlignment="0" applyProtection="0">
      <alignment horizontal="left"/>
    </xf>
    <xf numFmtId="0" fontId="36" fillId="0" borderId="5">
      <alignment horizontal="center"/>
    </xf>
    <xf numFmtId="0" fontId="45" fillId="0" borderId="6"/>
    <xf numFmtId="0" fontId="44" fillId="0" borderId="0"/>
    <xf numFmtId="0" fontId="45" fillId="0" borderId="0"/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1" borderId="7" applyNumberFormat="0" applyAlignment="0" applyProtection="0">
      <alignment vertical="center"/>
    </xf>
    <xf numFmtId="0" fontId="16" fillId="21" borderId="7" applyNumberFormat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3" fillId="23" borderId="8" applyNumberFormat="0" applyFont="0" applyAlignment="0" applyProtection="0">
      <alignment vertical="center"/>
    </xf>
    <xf numFmtId="0" fontId="9" fillId="23" borderId="8" applyNumberFormat="0" applyFon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24" borderId="10" applyNumberFormat="0" applyAlignment="0" applyProtection="0">
      <alignment vertical="center"/>
    </xf>
    <xf numFmtId="0" fontId="20" fillId="24" borderId="10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24" borderId="15" applyNumberFormat="0" applyAlignment="0" applyProtection="0">
      <alignment vertical="center"/>
    </xf>
    <xf numFmtId="0" fontId="26" fillId="24" borderId="15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7" fillId="0" borderId="0">
      <alignment horizontal="center" vertical="center"/>
    </xf>
    <xf numFmtId="0" fontId="28" fillId="7" borderId="10" applyNumberFormat="0" applyAlignment="0" applyProtection="0">
      <alignment vertical="center"/>
    </xf>
    <xf numFmtId="0" fontId="28" fillId="7" borderId="10" applyNumberFormat="0" applyAlignment="0" applyProtection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7" fillId="0" borderId="0"/>
    <xf numFmtId="0" fontId="46" fillId="0" borderId="0"/>
    <xf numFmtId="0" fontId="47" fillId="0" borderId="0"/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8" fillId="7" borderId="10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24" borderId="15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9" fontId="1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2" fillId="0" borderId="0" applyNumberFormat="0" applyFill="0" applyBorder="0" applyAlignment="0" applyProtection="0">
      <alignment vertical="center"/>
    </xf>
  </cellStyleXfs>
  <cellXfs count="184">
    <xf numFmtId="0" fontId="0" fillId="0" borderId="0" xfId="0">
      <alignment vertical="center"/>
    </xf>
    <xf numFmtId="0" fontId="9" fillId="0" borderId="0" xfId="110" applyFont="1" applyAlignment="1">
      <alignment vertical="center"/>
    </xf>
    <xf numFmtId="0" fontId="9" fillId="0" borderId="0" xfId="110" applyFont="1" applyAlignment="1">
      <alignment vertical="top"/>
    </xf>
    <xf numFmtId="0" fontId="10" fillId="0" borderId="0" xfId="0" applyFont="1">
      <alignment vertical="center"/>
    </xf>
    <xf numFmtId="0" fontId="9" fillId="0" borderId="4" xfId="0" applyFont="1" applyBorder="1" applyAlignment="1">
      <alignment horizontal="left" vertical="top" wrapText="1"/>
    </xf>
    <xf numFmtId="0" fontId="9" fillId="0" borderId="0" xfId="110" applyFont="1" applyAlignment="1">
      <alignment vertical="top" wrapText="1"/>
    </xf>
    <xf numFmtId="49" fontId="9" fillId="0" borderId="0" xfId="110" applyNumberFormat="1" applyFont="1" applyAlignment="1">
      <alignment vertical="top" wrapText="1"/>
    </xf>
    <xf numFmtId="0" fontId="9" fillId="0" borderId="0" xfId="110" applyFont="1" applyAlignment="1">
      <alignment horizontal="center" vertical="top" wrapText="1"/>
    </xf>
    <xf numFmtId="0" fontId="11" fillId="0" borderId="0" xfId="107">
      <alignment vertical="center"/>
    </xf>
    <xf numFmtId="49" fontId="48" fillId="25" borderId="0" xfId="107" applyNumberFormat="1" applyFont="1" applyFill="1" applyAlignment="1">
      <alignment horizontal="left" vertical="top" wrapText="1"/>
    </xf>
    <xf numFmtId="49" fontId="11" fillId="25" borderId="0" xfId="107" applyNumberFormat="1" applyFill="1" applyAlignment="1">
      <alignment horizontal="left" vertical="top" wrapText="1"/>
    </xf>
    <xf numFmtId="0" fontId="33" fillId="0" borderId="0" xfId="107" applyFont="1">
      <alignment vertical="center"/>
    </xf>
    <xf numFmtId="0" fontId="11" fillId="25" borderId="0" xfId="107" applyFill="1">
      <alignment vertical="center"/>
    </xf>
    <xf numFmtId="0" fontId="34" fillId="25" borderId="0" xfId="107" applyFont="1" applyFill="1">
      <alignment vertical="center"/>
    </xf>
    <xf numFmtId="0" fontId="9" fillId="0" borderId="0" xfId="0" applyFont="1" applyAlignment="1">
      <alignment vertical="top" wrapText="1"/>
    </xf>
    <xf numFmtId="0" fontId="9" fillId="0" borderId="0" xfId="110" applyFont="1" applyAlignment="1">
      <alignment vertical="center" wrapText="1"/>
    </xf>
    <xf numFmtId="0" fontId="9" fillId="0" borderId="4" xfId="0" applyFont="1" applyBorder="1" applyAlignment="1">
      <alignment horizontal="right" vertical="top" wrapText="1"/>
    </xf>
    <xf numFmtId="0" fontId="9" fillId="0" borderId="0" xfId="0" applyFont="1" applyAlignment="1">
      <alignment vertical="center" wrapText="1"/>
    </xf>
    <xf numFmtId="0" fontId="9" fillId="0" borderId="0" xfId="108" applyFont="1" applyAlignment="1">
      <alignment wrapText="1"/>
    </xf>
    <xf numFmtId="0" fontId="9" fillId="0" borderId="0" xfId="108" applyFont="1" applyAlignment="1">
      <alignment horizontal="center" wrapText="1"/>
    </xf>
    <xf numFmtId="0" fontId="9" fillId="0" borderId="0" xfId="108" applyFont="1" applyAlignment="1">
      <alignment vertical="top" wrapText="1"/>
    </xf>
    <xf numFmtId="0" fontId="9" fillId="26" borderId="4" xfId="108" applyFont="1" applyFill="1" applyBorder="1" applyAlignment="1">
      <alignment horizontal="center" vertical="top" wrapText="1"/>
    </xf>
    <xf numFmtId="0" fontId="9" fillId="26" borderId="3" xfId="108" applyFont="1" applyFill="1" applyBorder="1" applyAlignment="1">
      <alignment horizontal="left" vertical="top" wrapText="1"/>
    </xf>
    <xf numFmtId="0" fontId="9" fillId="26" borderId="19" xfId="108" applyFont="1" applyFill="1" applyBorder="1" applyAlignment="1">
      <alignment horizontal="left" vertical="top" wrapText="1"/>
    </xf>
    <xf numFmtId="0" fontId="9" fillId="0" borderId="19" xfId="108" applyFont="1" applyBorder="1" applyAlignment="1">
      <alignment horizontal="left" vertical="top" wrapText="1"/>
    </xf>
    <xf numFmtId="177" fontId="9" fillId="0" borderId="4" xfId="108" applyNumberFormat="1" applyFont="1" applyBorder="1" applyAlignment="1">
      <alignment horizontal="center" vertical="center" wrapText="1"/>
    </xf>
    <xf numFmtId="0" fontId="9" fillId="0" borderId="4" xfId="108" applyFont="1" applyBorder="1" applyAlignment="1">
      <alignment horizontal="right" vertical="top" wrapText="1"/>
    </xf>
    <xf numFmtId="0" fontId="9" fillId="0" borderId="3" xfId="108" applyFont="1" applyBorder="1" applyAlignment="1">
      <alignment horizontal="left" vertical="top" wrapText="1"/>
    </xf>
    <xf numFmtId="0" fontId="9" fillId="0" borderId="4" xfId="108" applyFont="1" applyBorder="1" applyAlignment="1">
      <alignment horizontal="center" vertical="center" wrapText="1"/>
    </xf>
    <xf numFmtId="0" fontId="9" fillId="0" borderId="3" xfId="109" applyFont="1" applyBorder="1" applyAlignment="1">
      <alignment horizontal="left" vertical="top" wrapText="1"/>
    </xf>
    <xf numFmtId="0" fontId="9" fillId="0" borderId="40" xfId="108" applyFont="1" applyBorder="1" applyAlignment="1">
      <alignment horizontal="right" vertical="top" wrapText="1"/>
    </xf>
    <xf numFmtId="0" fontId="9" fillId="0" borderId="0" xfId="109" applyFont="1" applyAlignment="1">
      <alignment horizontal="left" vertical="top" wrapText="1"/>
    </xf>
    <xf numFmtId="0" fontId="9" fillId="0" borderId="18" xfId="108" applyFont="1" applyBorder="1" applyAlignment="1">
      <alignment horizontal="center" vertical="center" wrapText="1"/>
    </xf>
    <xf numFmtId="0" fontId="9" fillId="16" borderId="44" xfId="108" applyFont="1" applyFill="1" applyBorder="1" applyAlignment="1">
      <alignment horizontal="left" vertical="top" wrapText="1"/>
    </xf>
    <xf numFmtId="0" fontId="9" fillId="0" borderId="45" xfId="108" applyFont="1" applyBorder="1" applyAlignment="1">
      <alignment horizontal="center" vertical="center" wrapText="1"/>
    </xf>
    <xf numFmtId="0" fontId="9" fillId="0" borderId="16" xfId="108" applyFont="1" applyBorder="1" applyAlignment="1">
      <alignment horizontal="right" vertical="top" wrapText="1"/>
    </xf>
    <xf numFmtId="0" fontId="9" fillId="0" borderId="46" xfId="109" applyFont="1" applyBorder="1" applyAlignment="1">
      <alignment horizontal="left" vertical="top" wrapText="1"/>
    </xf>
    <xf numFmtId="0" fontId="9" fillId="0" borderId="41" xfId="108" applyFont="1" applyBorder="1" applyAlignment="1">
      <alignment horizontal="right" vertical="top" wrapText="1"/>
    </xf>
    <xf numFmtId="0" fontId="9" fillId="0" borderId="47" xfId="109" applyFont="1" applyBorder="1" applyAlignment="1">
      <alignment horizontal="left" vertical="top" wrapText="1"/>
    </xf>
    <xf numFmtId="0" fontId="9" fillId="0" borderId="0" xfId="108" applyFont="1"/>
    <xf numFmtId="0" fontId="9" fillId="26" borderId="4" xfId="0" applyFont="1" applyFill="1" applyBorder="1" applyAlignment="1">
      <alignment horizontal="center" vertical="center" wrapText="1"/>
    </xf>
    <xf numFmtId="0" fontId="9" fillId="26" borderId="40" xfId="108" applyFont="1" applyFill="1" applyBorder="1" applyAlignment="1">
      <alignment horizontal="left" vertical="top" wrapText="1"/>
    </xf>
    <xf numFmtId="0" fontId="9" fillId="26" borderId="20" xfId="108" applyFont="1" applyFill="1" applyBorder="1" applyAlignment="1">
      <alignment horizontal="left" vertical="top" wrapText="1"/>
    </xf>
    <xf numFmtId="0" fontId="9" fillId="26" borderId="43" xfId="108" applyFont="1" applyFill="1" applyBorder="1" applyAlignment="1">
      <alignment horizontal="left" vertical="top" wrapText="1"/>
    </xf>
    <xf numFmtId="0" fontId="9" fillId="26" borderId="20" xfId="108" applyFont="1" applyFill="1" applyBorder="1" applyAlignment="1">
      <alignment horizontal="left" vertical="center" wrapText="1"/>
    </xf>
    <xf numFmtId="0" fontId="9" fillId="26" borderId="3" xfId="108" applyFont="1" applyFill="1" applyBorder="1" applyAlignment="1">
      <alignment horizontal="right" vertical="top" wrapText="1"/>
    </xf>
    <xf numFmtId="0" fontId="9" fillId="26" borderId="3" xfId="108" applyFont="1" applyFill="1" applyBorder="1" applyAlignment="1">
      <alignment horizontal="center" vertical="center" wrapText="1"/>
    </xf>
    <xf numFmtId="0" fontId="9" fillId="26" borderId="19" xfId="108" applyFont="1" applyFill="1" applyBorder="1" applyAlignment="1">
      <alignment horizontal="center" vertical="center" wrapText="1"/>
    </xf>
    <xf numFmtId="0" fontId="10" fillId="26" borderId="16" xfId="0" applyFont="1" applyFill="1" applyBorder="1" applyAlignment="1">
      <alignment horizontal="center" vertical="center"/>
    </xf>
    <xf numFmtId="0" fontId="9" fillId="26" borderId="17" xfId="0" applyFont="1" applyFill="1" applyBorder="1" applyAlignment="1">
      <alignment horizontal="center" vertical="center" wrapText="1"/>
    </xf>
    <xf numFmtId="0" fontId="9" fillId="26" borderId="3" xfId="108" applyFont="1" applyFill="1" applyBorder="1" applyAlignment="1">
      <alignment vertical="top" wrapText="1"/>
    </xf>
    <xf numFmtId="0" fontId="9" fillId="26" borderId="42" xfId="108" applyFont="1" applyFill="1" applyBorder="1" applyAlignment="1">
      <alignment horizontal="center" vertical="top" wrapText="1"/>
    </xf>
    <xf numFmtId="0" fontId="9" fillId="26" borderId="19" xfId="108" applyFont="1" applyFill="1" applyBorder="1" applyAlignment="1">
      <alignment vertical="top" wrapText="1"/>
    </xf>
    <xf numFmtId="0" fontId="9" fillId="26" borderId="16" xfId="108" applyFont="1" applyFill="1" applyBorder="1" applyAlignment="1">
      <alignment horizontal="left" vertical="center" wrapText="1"/>
    </xf>
    <xf numFmtId="0" fontId="9" fillId="26" borderId="17" xfId="108" applyFont="1" applyFill="1" applyBorder="1" applyAlignment="1">
      <alignment horizontal="center" vertical="top" wrapText="1"/>
    </xf>
    <xf numFmtId="0" fontId="9" fillId="26" borderId="4" xfId="108" applyFont="1" applyFill="1" applyBorder="1" applyAlignment="1">
      <alignment horizontal="left" vertical="center" wrapText="1"/>
    </xf>
    <xf numFmtId="177" fontId="9" fillId="0" borderId="4" xfId="108" applyNumberFormat="1" applyFont="1" applyBorder="1" applyAlignment="1">
      <alignment horizontal="left" vertical="center" wrapText="1"/>
    </xf>
    <xf numFmtId="0" fontId="9" fillId="0" borderId="3" xfId="108" applyFont="1" applyBorder="1" applyAlignment="1">
      <alignment horizontal="right" vertical="center" wrapText="1"/>
    </xf>
    <xf numFmtId="0" fontId="9" fillId="0" borderId="0" xfId="110" applyFont="1" applyAlignment="1">
      <alignment horizontal="center" vertical="center" wrapText="1"/>
    </xf>
    <xf numFmtId="0" fontId="11" fillId="0" borderId="0" xfId="107" applyAlignment="1">
      <alignment horizontal="right" vertical="center"/>
    </xf>
    <xf numFmtId="0" fontId="48" fillId="25" borderId="0" xfId="107" applyFont="1" applyFill="1" applyAlignment="1">
      <alignment horizontal="center" vertical="center"/>
    </xf>
    <xf numFmtId="0" fontId="9" fillId="0" borderId="48" xfId="0" applyFont="1" applyBorder="1" applyAlignment="1">
      <alignment horizontal="center" vertical="top" wrapText="1"/>
    </xf>
    <xf numFmtId="14" fontId="9" fillId="0" borderId="49" xfId="0" applyNumberFormat="1" applyFont="1" applyBorder="1" applyAlignment="1">
      <alignment horizontal="center" vertical="top" wrapText="1"/>
    </xf>
    <xf numFmtId="0" fontId="9" fillId="26" borderId="16" xfId="0" applyFont="1" applyFill="1" applyBorder="1" applyAlignment="1">
      <alignment horizontal="center" vertical="center" wrapText="1"/>
    </xf>
    <xf numFmtId="49" fontId="46" fillId="0" borderId="0" xfId="0" applyNumberFormat="1" applyFont="1">
      <alignment vertical="center"/>
    </xf>
    <xf numFmtId="0" fontId="9" fillId="27" borderId="3" xfId="109" applyFont="1" applyFill="1" applyBorder="1" applyAlignment="1">
      <alignment vertical="top" wrapText="1"/>
    </xf>
    <xf numFmtId="0" fontId="9" fillId="27" borderId="19" xfId="108" applyFont="1" applyFill="1" applyBorder="1" applyAlignment="1">
      <alignment horizontal="left" vertical="top" wrapText="1"/>
    </xf>
    <xf numFmtId="0" fontId="9" fillId="27" borderId="4" xfId="108" applyFont="1" applyFill="1" applyBorder="1" applyAlignment="1">
      <alignment horizontal="center" vertical="center" wrapText="1"/>
    </xf>
    <xf numFmtId="0" fontId="9" fillId="28" borderId="3" xfId="109" applyFont="1" applyFill="1" applyBorder="1" applyAlignment="1">
      <alignment vertical="top" wrapText="1"/>
    </xf>
    <xf numFmtId="0" fontId="9" fillId="28" borderId="19" xfId="108" applyFont="1" applyFill="1" applyBorder="1" applyAlignment="1">
      <alignment horizontal="left" vertical="top" wrapText="1"/>
    </xf>
    <xf numFmtId="0" fontId="9" fillId="28" borderId="4" xfId="108" applyFont="1" applyFill="1" applyBorder="1" applyAlignment="1">
      <alignment horizontal="center" vertical="center" wrapText="1"/>
    </xf>
    <xf numFmtId="0" fontId="9" fillId="27" borderId="3" xfId="109" applyFont="1" applyFill="1" applyBorder="1" applyAlignment="1">
      <alignment horizontal="left" vertical="top" wrapText="1"/>
    </xf>
    <xf numFmtId="0" fontId="9" fillId="0" borderId="0" xfId="108" applyFont="1" applyAlignment="1">
      <alignment vertical="center" textRotation="255"/>
    </xf>
    <xf numFmtId="0" fontId="9" fillId="0" borderId="0" xfId="108" applyFont="1" applyAlignment="1">
      <alignment vertical="top" textRotation="255"/>
    </xf>
    <xf numFmtId="0" fontId="9" fillId="0" borderId="3" xfId="0" applyFont="1" applyBorder="1" applyAlignment="1">
      <alignment horizontal="left" vertical="top" wrapText="1"/>
    </xf>
    <xf numFmtId="0" fontId="46" fillId="0" borderId="0" xfId="0" applyFont="1">
      <alignment vertical="center"/>
    </xf>
    <xf numFmtId="0" fontId="46" fillId="0" borderId="50" xfId="0" applyFont="1" applyBorder="1" applyAlignment="1">
      <alignment vertical="center" wrapText="1"/>
    </xf>
    <xf numFmtId="0" fontId="46" fillId="0" borderId="0" xfId="0" applyFont="1" applyAlignment="1">
      <alignment vertical="center" wrapText="1"/>
    </xf>
    <xf numFmtId="0" fontId="46" fillId="29" borderId="0" xfId="0" applyFont="1" applyFill="1">
      <alignment vertical="center"/>
    </xf>
    <xf numFmtId="0" fontId="46" fillId="0" borderId="50" xfId="0" applyFont="1" applyBorder="1" applyAlignment="1">
      <alignment horizontal="left" vertical="center"/>
    </xf>
    <xf numFmtId="0" fontId="46" fillId="0" borderId="50" xfId="0" applyFont="1" applyBorder="1" applyAlignment="1">
      <alignment vertical="top" wrapText="1"/>
    </xf>
    <xf numFmtId="0" fontId="55" fillId="0" borderId="0" xfId="110" applyFont="1" applyAlignment="1">
      <alignment vertical="center"/>
    </xf>
    <xf numFmtId="0" fontId="9" fillId="25" borderId="3" xfId="0" applyFont="1" applyFill="1" applyBorder="1" applyAlignment="1">
      <alignment horizontal="left" vertical="top" wrapText="1"/>
    </xf>
    <xf numFmtId="0" fontId="9" fillId="0" borderId="3" xfId="0" applyFont="1" applyBorder="1" applyAlignment="1">
      <alignment vertical="center" wrapText="1"/>
    </xf>
    <xf numFmtId="0" fontId="13" fillId="0" borderId="4" xfId="131" applyBorder="1">
      <alignment vertical="center"/>
    </xf>
    <xf numFmtId="1" fontId="13" fillId="0" borderId="4" xfId="131" applyNumberFormat="1" applyBorder="1">
      <alignment vertical="center"/>
    </xf>
    <xf numFmtId="0" fontId="13" fillId="29" borderId="4" xfId="131" applyFill="1" applyBorder="1">
      <alignment vertical="center"/>
    </xf>
    <xf numFmtId="1" fontId="13" fillId="29" borderId="4" xfId="131" applyNumberFormat="1" applyFill="1" applyBorder="1">
      <alignment vertical="center"/>
    </xf>
    <xf numFmtId="184" fontId="13" fillId="0" borderId="4" xfId="131" applyNumberFormat="1" applyBorder="1">
      <alignment vertical="center"/>
    </xf>
    <xf numFmtId="0" fontId="13" fillId="0" borderId="4" xfId="131" applyFill="1" applyBorder="1">
      <alignment vertical="center"/>
    </xf>
    <xf numFmtId="1" fontId="13" fillId="0" borderId="4" xfId="131" applyNumberFormat="1" applyFill="1" applyBorder="1">
      <alignment vertical="center"/>
    </xf>
    <xf numFmtId="0" fontId="9" fillId="27" borderId="3" xfId="108" applyFont="1" applyFill="1" applyBorder="1" applyAlignment="1">
      <alignment horizontal="left" vertical="top" wrapText="1"/>
    </xf>
    <xf numFmtId="0" fontId="58" fillId="31" borderId="4" xfId="131" applyFont="1" applyFill="1" applyBorder="1" applyAlignment="1">
      <alignment vertical="center" wrapText="1"/>
    </xf>
    <xf numFmtId="0" fontId="11" fillId="0" borderId="4" xfId="131" applyFont="1" applyFill="1" applyBorder="1">
      <alignment vertical="center"/>
    </xf>
    <xf numFmtId="0" fontId="59" fillId="29" borderId="4" xfId="131" applyFont="1" applyFill="1" applyBorder="1">
      <alignment vertical="center"/>
    </xf>
    <xf numFmtId="49" fontId="60" fillId="31" borderId="50" xfId="0" applyNumberFormat="1" applyFont="1" applyFill="1" applyBorder="1" applyAlignment="1">
      <alignment horizontal="left" vertical="center" wrapText="1"/>
    </xf>
    <xf numFmtId="49" fontId="61" fillId="0" borderId="4" xfId="0" applyNumberFormat="1" applyFont="1" applyBorder="1">
      <alignment vertical="center"/>
    </xf>
    <xf numFmtId="0" fontId="54" fillId="0" borderId="50" xfId="0" applyFont="1" applyBorder="1" applyAlignment="1">
      <alignment vertical="top" wrapText="1"/>
    </xf>
    <xf numFmtId="185" fontId="61" fillId="0" borderId="4" xfId="0" applyNumberFormat="1" applyFont="1" applyBorder="1">
      <alignment vertical="center"/>
    </xf>
    <xf numFmtId="49" fontId="46" fillId="0" borderId="4" xfId="0" applyNumberFormat="1" applyFont="1" applyBorder="1">
      <alignment vertical="center"/>
    </xf>
    <xf numFmtId="49" fontId="62" fillId="0" borderId="4" xfId="136" applyNumberFormat="1" applyBorder="1">
      <alignment vertical="center"/>
    </xf>
    <xf numFmtId="49" fontId="0" fillId="0" borderId="50" xfId="0" applyNumberFormat="1" applyBorder="1">
      <alignment vertical="center"/>
    </xf>
    <xf numFmtId="1" fontId="0" fillId="0" borderId="50" xfId="0" applyNumberFormat="1" applyBorder="1" applyAlignment="1">
      <alignment horizontal="right" vertical="center"/>
    </xf>
    <xf numFmtId="0" fontId="34" fillId="0" borderId="21" xfId="107" applyFont="1" applyBorder="1" applyAlignment="1">
      <alignment horizontal="center" vertical="center"/>
    </xf>
    <xf numFmtId="0" fontId="34" fillId="0" borderId="22" xfId="107" applyFont="1" applyBorder="1" applyAlignment="1">
      <alignment horizontal="center" vertical="center"/>
    </xf>
    <xf numFmtId="0" fontId="34" fillId="0" borderId="23" xfId="107" applyFont="1" applyBorder="1" applyAlignment="1">
      <alignment horizontal="center" vertical="center"/>
    </xf>
    <xf numFmtId="0" fontId="11" fillId="26" borderId="24" xfId="107" applyFill="1" applyBorder="1" applyAlignment="1">
      <alignment horizontal="center" vertical="center"/>
    </xf>
    <xf numFmtId="0" fontId="11" fillId="26" borderId="25" xfId="107" applyFill="1" applyBorder="1" applyAlignment="1">
      <alignment horizontal="center" vertical="center"/>
    </xf>
    <xf numFmtId="0" fontId="11" fillId="26" borderId="26" xfId="107" applyFill="1" applyBorder="1" applyAlignment="1">
      <alignment horizontal="center" vertical="center"/>
    </xf>
    <xf numFmtId="0" fontId="49" fillId="26" borderId="21" xfId="107" applyFont="1" applyFill="1" applyBorder="1" applyAlignment="1">
      <alignment horizontal="center" vertical="center" shrinkToFit="1"/>
    </xf>
    <xf numFmtId="0" fontId="49" fillId="26" borderId="22" xfId="107" applyFont="1" applyFill="1" applyBorder="1" applyAlignment="1">
      <alignment horizontal="center" vertical="center" shrinkToFit="1"/>
    </xf>
    <xf numFmtId="0" fontId="49" fillId="26" borderId="27" xfId="107" applyFont="1" applyFill="1" applyBorder="1" applyAlignment="1">
      <alignment horizontal="center" vertical="center" shrinkToFit="1"/>
    </xf>
    <xf numFmtId="49" fontId="49" fillId="0" borderId="28" xfId="107" applyNumberFormat="1" applyFont="1" applyBorder="1" applyAlignment="1">
      <alignment horizontal="center" vertical="center" wrapText="1"/>
    </xf>
    <xf numFmtId="49" fontId="49" fillId="0" borderId="22" xfId="107" applyNumberFormat="1" applyFont="1" applyBorder="1" applyAlignment="1">
      <alignment horizontal="center" vertical="center" wrapText="1"/>
    </xf>
    <xf numFmtId="49" fontId="49" fillId="0" borderId="23" xfId="107" applyNumberFormat="1" applyFont="1" applyBorder="1" applyAlignment="1">
      <alignment horizontal="center" vertical="center" wrapText="1"/>
    </xf>
    <xf numFmtId="49" fontId="49" fillId="0" borderId="28" xfId="107" applyNumberFormat="1" applyFont="1" applyBorder="1" applyAlignment="1">
      <alignment horizontal="left" vertical="center" wrapText="1"/>
    </xf>
    <xf numFmtId="49" fontId="49" fillId="0" borderId="22" xfId="107" applyNumberFormat="1" applyFont="1" applyBorder="1" applyAlignment="1">
      <alignment horizontal="left" vertical="center" wrapText="1"/>
    </xf>
    <xf numFmtId="49" fontId="49" fillId="0" borderId="23" xfId="107" applyNumberFormat="1" applyFont="1" applyBorder="1" applyAlignment="1">
      <alignment horizontal="left" vertical="center" wrapText="1"/>
    </xf>
    <xf numFmtId="0" fontId="48" fillId="25" borderId="0" xfId="107" applyFont="1" applyFill="1" applyAlignment="1">
      <alignment horizontal="center" vertical="center"/>
    </xf>
    <xf numFmtId="0" fontId="11" fillId="25" borderId="0" xfId="107" applyFill="1" applyAlignment="1">
      <alignment horizontal="center" vertical="center"/>
    </xf>
    <xf numFmtId="0" fontId="49" fillId="26" borderId="29" xfId="107" applyFont="1" applyFill="1" applyBorder="1" applyAlignment="1">
      <alignment horizontal="center" vertical="center" shrinkToFit="1"/>
    </xf>
    <xf numFmtId="0" fontId="49" fillId="26" borderId="3" xfId="107" applyFont="1" applyFill="1" applyBorder="1" applyAlignment="1">
      <alignment horizontal="center" vertical="center" shrinkToFit="1"/>
    </xf>
    <xf numFmtId="0" fontId="49" fillId="26" borderId="19" xfId="107" applyFont="1" applyFill="1" applyBorder="1" applyAlignment="1">
      <alignment horizontal="center" vertical="center" shrinkToFit="1"/>
    </xf>
    <xf numFmtId="49" fontId="31" fillId="0" borderId="17" xfId="107" applyNumberFormat="1" applyFont="1" applyBorder="1" applyAlignment="1">
      <alignment horizontal="left" vertical="center" wrapText="1"/>
    </xf>
    <xf numFmtId="49" fontId="31" fillId="0" borderId="3" xfId="107" applyNumberFormat="1" applyFont="1" applyBorder="1" applyAlignment="1">
      <alignment horizontal="left" vertical="center" wrapText="1"/>
    </xf>
    <xf numFmtId="49" fontId="31" fillId="0" borderId="30" xfId="107" applyNumberFormat="1" applyFont="1" applyBorder="1" applyAlignment="1">
      <alignment horizontal="left" vertical="center" wrapText="1"/>
    </xf>
    <xf numFmtId="14" fontId="31" fillId="0" borderId="17" xfId="107" applyNumberFormat="1" applyFont="1" applyBorder="1" applyAlignment="1">
      <alignment horizontal="center" vertical="center" wrapText="1"/>
    </xf>
    <xf numFmtId="14" fontId="31" fillId="0" borderId="3" xfId="107" applyNumberFormat="1" applyFont="1" applyBorder="1" applyAlignment="1">
      <alignment horizontal="center" vertical="center" wrapText="1"/>
    </xf>
    <xf numFmtId="14" fontId="31" fillId="0" borderId="30" xfId="107" applyNumberFormat="1" applyFont="1" applyBorder="1" applyAlignment="1">
      <alignment horizontal="center" vertical="center" wrapText="1"/>
    </xf>
    <xf numFmtId="0" fontId="31" fillId="0" borderId="17" xfId="107" applyFont="1" applyBorder="1" applyAlignment="1">
      <alignment horizontal="left" vertical="center" wrapText="1"/>
    </xf>
    <xf numFmtId="0" fontId="31" fillId="26" borderId="29" xfId="107" applyFont="1" applyFill="1" applyBorder="1" applyAlignment="1">
      <alignment horizontal="center" vertical="center" shrinkToFit="1"/>
    </xf>
    <xf numFmtId="0" fontId="31" fillId="26" borderId="3" xfId="107" applyFont="1" applyFill="1" applyBorder="1" applyAlignment="1">
      <alignment horizontal="center" vertical="center" shrinkToFit="1"/>
    </xf>
    <xf numFmtId="0" fontId="31" fillId="26" borderId="19" xfId="107" applyFont="1" applyFill="1" applyBorder="1" applyAlignment="1">
      <alignment horizontal="center" vertical="center" shrinkToFit="1"/>
    </xf>
    <xf numFmtId="0" fontId="30" fillId="26" borderId="31" xfId="107" applyFont="1" applyFill="1" applyBorder="1" applyAlignment="1">
      <alignment horizontal="center" vertical="center" wrapText="1"/>
    </xf>
    <xf numFmtId="0" fontId="30" fillId="26" borderId="32" xfId="107" applyFont="1" applyFill="1" applyBorder="1" applyAlignment="1">
      <alignment horizontal="center" vertical="center"/>
    </xf>
    <xf numFmtId="0" fontId="30" fillId="26" borderId="33" xfId="107" applyFont="1" applyFill="1" applyBorder="1" applyAlignment="1">
      <alignment horizontal="center" vertical="center"/>
    </xf>
    <xf numFmtId="0" fontId="30" fillId="26" borderId="34" xfId="107" applyFont="1" applyFill="1" applyBorder="1" applyAlignment="1">
      <alignment horizontal="center" vertical="center"/>
    </xf>
    <xf numFmtId="0" fontId="30" fillId="26" borderId="0" xfId="107" applyFont="1" applyFill="1" applyAlignment="1">
      <alignment horizontal="center" vertical="center"/>
    </xf>
    <xf numFmtId="0" fontId="30" fillId="26" borderId="35" xfId="107" applyFont="1" applyFill="1" applyBorder="1" applyAlignment="1">
      <alignment horizontal="center" vertical="center"/>
    </xf>
    <xf numFmtId="0" fontId="30" fillId="26" borderId="36" xfId="107" applyFont="1" applyFill="1" applyBorder="1" applyAlignment="1">
      <alignment horizontal="center" vertical="center"/>
    </xf>
    <xf numFmtId="0" fontId="30" fillId="26" borderId="5" xfId="107" applyFont="1" applyFill="1" applyBorder="1" applyAlignment="1">
      <alignment horizontal="center" vertical="center"/>
    </xf>
    <xf numFmtId="0" fontId="30" fillId="26" borderId="37" xfId="107" applyFont="1" applyFill="1" applyBorder="1" applyAlignment="1">
      <alignment horizontal="center" vertical="center"/>
    </xf>
    <xf numFmtId="0" fontId="31" fillId="26" borderId="24" xfId="107" applyFont="1" applyFill="1" applyBorder="1" applyAlignment="1">
      <alignment horizontal="center" vertical="center" shrinkToFit="1"/>
    </xf>
    <xf numFmtId="0" fontId="31" fillId="26" borderId="25" xfId="107" applyFont="1" applyFill="1" applyBorder="1" applyAlignment="1">
      <alignment horizontal="center" vertical="center" shrinkToFit="1"/>
    </xf>
    <xf numFmtId="0" fontId="31" fillId="26" borderId="38" xfId="107" applyFont="1" applyFill="1" applyBorder="1" applyAlignment="1">
      <alignment horizontal="center" vertical="center" shrinkToFit="1"/>
    </xf>
    <xf numFmtId="49" fontId="31" fillId="0" borderId="39" xfId="107" applyNumberFormat="1" applyFont="1" applyBorder="1" applyAlignment="1">
      <alignment horizontal="left" vertical="center" wrapText="1"/>
    </xf>
    <xf numFmtId="49" fontId="31" fillId="0" borderId="25" xfId="107" applyNumberFormat="1" applyFont="1" applyBorder="1" applyAlignment="1">
      <alignment horizontal="left" vertical="center" wrapText="1"/>
    </xf>
    <xf numFmtId="49" fontId="31" fillId="0" borderId="26" xfId="107" applyNumberFormat="1" applyFont="1" applyBorder="1" applyAlignment="1">
      <alignment horizontal="left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top" wrapText="1"/>
    </xf>
    <xf numFmtId="0" fontId="9" fillId="0" borderId="41" xfId="0" applyFont="1" applyBorder="1" applyAlignment="1">
      <alignment horizontal="center" vertical="top" wrapText="1"/>
    </xf>
    <xf numFmtId="0" fontId="9" fillId="0" borderId="16" xfId="0" applyFont="1" applyBorder="1" applyAlignment="1">
      <alignment horizontal="left" vertical="top" wrapText="1"/>
    </xf>
    <xf numFmtId="0" fontId="9" fillId="0" borderId="41" xfId="0" applyFont="1" applyBorder="1" applyAlignment="1">
      <alignment horizontal="left" vertical="top" wrapText="1"/>
    </xf>
    <xf numFmtId="0" fontId="46" fillId="30" borderId="51" xfId="0" applyFont="1" applyFill="1" applyBorder="1" applyAlignment="1">
      <alignment horizontal="left" vertical="center" wrapText="1"/>
    </xf>
    <xf numFmtId="0" fontId="46" fillId="30" borderId="52" xfId="0" applyFont="1" applyFill="1" applyBorder="1" applyAlignment="1">
      <alignment horizontal="left" vertical="center" wrapText="1"/>
    </xf>
    <xf numFmtId="0" fontId="46" fillId="30" borderId="51" xfId="0" applyFont="1" applyFill="1" applyBorder="1" applyAlignment="1">
      <alignment horizontal="left" vertical="center"/>
    </xf>
    <xf numFmtId="0" fontId="46" fillId="30" borderId="52" xfId="0" applyFont="1" applyFill="1" applyBorder="1" applyAlignment="1">
      <alignment horizontal="left" vertical="center"/>
    </xf>
    <xf numFmtId="188" fontId="0" fillId="0" borderId="50" xfId="0" applyNumberFormat="1" applyBorder="1" applyAlignment="1">
      <alignment horizontal="right" vertical="center"/>
    </xf>
    <xf numFmtId="185" fontId="0" fillId="0" borderId="50" xfId="0" applyNumberFormat="1" applyBorder="1" applyAlignment="1">
      <alignment horizontal="right" vertical="center"/>
    </xf>
    <xf numFmtId="0" fontId="64" fillId="0" borderId="50" xfId="0" applyFont="1" applyBorder="1">
      <alignment vertical="center"/>
    </xf>
    <xf numFmtId="184" fontId="0" fillId="0" borderId="50" xfId="0" applyNumberFormat="1" applyBorder="1" applyAlignment="1">
      <alignment horizontal="right" vertical="center"/>
    </xf>
    <xf numFmtId="0" fontId="66" fillId="29" borderId="4" xfId="131" applyFont="1" applyFill="1" applyBorder="1">
      <alignment vertical="center"/>
    </xf>
    <xf numFmtId="0" fontId="13" fillId="33" borderId="4" xfId="131" applyFill="1" applyBorder="1">
      <alignment vertical="center"/>
    </xf>
    <xf numFmtId="49" fontId="67" fillId="29" borderId="4" xfId="0" applyNumberFormat="1" applyFont="1" applyFill="1" applyBorder="1">
      <alignment vertical="center"/>
    </xf>
    <xf numFmtId="49" fontId="63" fillId="29" borderId="50" xfId="0" applyNumberFormat="1" applyFont="1" applyFill="1" applyBorder="1">
      <alignment vertical="center"/>
    </xf>
    <xf numFmtId="49" fontId="0" fillId="0" borderId="0" xfId="0" applyNumberFormat="1">
      <alignment vertical="center"/>
    </xf>
    <xf numFmtId="49" fontId="57" fillId="32" borderId="4" xfId="0" applyNumberFormat="1" applyFont="1" applyFill="1" applyBorder="1" applyAlignment="1">
      <alignment vertical="center" wrapText="1"/>
    </xf>
    <xf numFmtId="49" fontId="56" fillId="34" borderId="41" xfId="0" quotePrefix="1" applyNumberFormat="1" applyFont="1" applyFill="1" applyBorder="1">
      <alignment vertical="center"/>
    </xf>
    <xf numFmtId="49" fontId="56" fillId="0" borderId="41" xfId="0" quotePrefix="1" applyNumberFormat="1" applyFont="1" applyBorder="1">
      <alignment vertical="center"/>
    </xf>
    <xf numFmtId="0" fontId="53" fillId="0" borderId="50" xfId="0" applyFont="1" applyBorder="1" applyAlignment="1">
      <alignment vertical="center" wrapText="1"/>
    </xf>
    <xf numFmtId="0" fontId="46" fillId="0" borderId="50" xfId="0" applyFont="1" applyFill="1" applyBorder="1" applyAlignment="1">
      <alignment vertical="center" wrapText="1"/>
    </xf>
    <xf numFmtId="0" fontId="54" fillId="0" borderId="50" xfId="0" applyFont="1" applyFill="1" applyBorder="1" applyAlignment="1">
      <alignment vertical="center" wrapText="1"/>
    </xf>
    <xf numFmtId="0" fontId="53" fillId="0" borderId="50" xfId="0" applyFont="1" applyFill="1" applyBorder="1" applyAlignment="1">
      <alignment vertical="center" wrapText="1"/>
    </xf>
    <xf numFmtId="0" fontId="0" fillId="0" borderId="4" xfId="0" applyBorder="1">
      <alignment vertical="center"/>
    </xf>
    <xf numFmtId="49" fontId="0" fillId="0" borderId="4" xfId="0" applyNumberFormat="1" applyBorder="1">
      <alignment vertical="center"/>
    </xf>
    <xf numFmtId="49" fontId="0" fillId="0" borderId="50" xfId="0" applyNumberFormat="1" applyBorder="1" applyAlignment="1">
      <alignment horizontal="right" vertical="center"/>
    </xf>
    <xf numFmtId="185" fontId="0" fillId="0" borderId="4" xfId="0" applyNumberFormat="1" applyBorder="1">
      <alignment vertical="center"/>
    </xf>
    <xf numFmtId="0" fontId="0" fillId="0" borderId="4" xfId="0" applyBorder="1" applyAlignment="1">
      <alignment horizontal="right" vertical="center"/>
    </xf>
    <xf numFmtId="0" fontId="46" fillId="30" borderId="53" xfId="0" applyFont="1" applyFill="1" applyBorder="1" applyAlignment="1">
      <alignment horizontal="left" vertical="center" wrapText="1"/>
    </xf>
    <xf numFmtId="0" fontId="46" fillId="30" borderId="53" xfId="0" applyFont="1" applyFill="1" applyBorder="1" applyAlignment="1">
      <alignment horizontal="left" vertical="center"/>
    </xf>
    <xf numFmtId="0" fontId="46" fillId="0" borderId="4" xfId="0" applyFont="1" applyFill="1" applyBorder="1" applyAlignment="1">
      <alignment vertical="center" wrapText="1"/>
    </xf>
    <xf numFmtId="49" fontId="46" fillId="0" borderId="0" xfId="0" applyNumberFormat="1" applyFont="1" applyAlignment="1">
      <alignment vertical="center" wrapText="1"/>
    </xf>
    <xf numFmtId="49" fontId="62" fillId="0" borderId="50" xfId="136" applyNumberFormat="1" applyBorder="1">
      <alignment vertical="center"/>
    </xf>
  </cellXfs>
  <cellStyles count="137">
    <cellStyle name="20% - アクセント 1 2" xfId="1" xr:uid="{00000000-0005-0000-0000-000000000000}"/>
    <cellStyle name="20% - アクセント 1 3" xfId="2" xr:uid="{00000000-0005-0000-0000-000001000000}"/>
    <cellStyle name="20% - アクセント 2 2" xfId="3" xr:uid="{00000000-0005-0000-0000-000002000000}"/>
    <cellStyle name="20% - アクセント 2 3" xfId="4" xr:uid="{00000000-0005-0000-0000-000003000000}"/>
    <cellStyle name="20% - アクセント 3 2" xfId="5" xr:uid="{00000000-0005-0000-0000-000004000000}"/>
    <cellStyle name="20% - アクセント 3 3" xfId="6" xr:uid="{00000000-0005-0000-0000-000005000000}"/>
    <cellStyle name="20% - アクセント 4 2" xfId="7" xr:uid="{00000000-0005-0000-0000-000006000000}"/>
    <cellStyle name="20% - アクセント 4 3" xfId="8" xr:uid="{00000000-0005-0000-0000-000007000000}"/>
    <cellStyle name="20% - アクセント 5 2" xfId="9" xr:uid="{00000000-0005-0000-0000-000008000000}"/>
    <cellStyle name="20% - アクセント 5 3" xfId="10" xr:uid="{00000000-0005-0000-0000-000009000000}"/>
    <cellStyle name="20% - アクセント 6 2" xfId="11" xr:uid="{00000000-0005-0000-0000-00000A000000}"/>
    <cellStyle name="20% - アクセント 6 3" xfId="12" xr:uid="{00000000-0005-0000-0000-00000B000000}"/>
    <cellStyle name="40% - アクセント 1 2" xfId="13" xr:uid="{00000000-0005-0000-0000-00000C000000}"/>
    <cellStyle name="40% - アクセント 1 3" xfId="14" xr:uid="{00000000-0005-0000-0000-00000D000000}"/>
    <cellStyle name="40% - アクセント 2 2" xfId="15" xr:uid="{00000000-0005-0000-0000-00000E000000}"/>
    <cellStyle name="40% - アクセント 2 3" xfId="16" xr:uid="{00000000-0005-0000-0000-00000F000000}"/>
    <cellStyle name="40% - アクセント 3 2" xfId="17" xr:uid="{00000000-0005-0000-0000-000010000000}"/>
    <cellStyle name="40% - アクセント 3 3" xfId="18" xr:uid="{00000000-0005-0000-0000-000011000000}"/>
    <cellStyle name="40% - アクセント 4 2" xfId="19" xr:uid="{00000000-0005-0000-0000-000012000000}"/>
    <cellStyle name="40% - アクセント 4 3" xfId="20" xr:uid="{00000000-0005-0000-0000-000013000000}"/>
    <cellStyle name="40% - アクセント 5 2" xfId="21" xr:uid="{00000000-0005-0000-0000-000014000000}"/>
    <cellStyle name="40% - アクセント 5 3" xfId="22" xr:uid="{00000000-0005-0000-0000-000015000000}"/>
    <cellStyle name="40% - アクセント 6 2" xfId="23" xr:uid="{00000000-0005-0000-0000-000016000000}"/>
    <cellStyle name="40% - アクセント 6 3" xfId="24" xr:uid="{00000000-0005-0000-0000-000017000000}"/>
    <cellStyle name="60% - アクセント 1 2" xfId="25" xr:uid="{00000000-0005-0000-0000-000018000000}"/>
    <cellStyle name="60% - アクセント 1 3" xfId="26" xr:uid="{00000000-0005-0000-0000-000019000000}"/>
    <cellStyle name="60% - アクセント 2 2" xfId="27" xr:uid="{00000000-0005-0000-0000-00001A000000}"/>
    <cellStyle name="60% - アクセント 2 3" xfId="28" xr:uid="{00000000-0005-0000-0000-00001B000000}"/>
    <cellStyle name="60% - アクセント 3 2" xfId="29" xr:uid="{00000000-0005-0000-0000-00001C000000}"/>
    <cellStyle name="60% - アクセント 3 3" xfId="30" xr:uid="{00000000-0005-0000-0000-00001D000000}"/>
    <cellStyle name="60% - アクセント 4 2" xfId="31" xr:uid="{00000000-0005-0000-0000-00001E000000}"/>
    <cellStyle name="60% - アクセント 4 3" xfId="32" xr:uid="{00000000-0005-0000-0000-00001F000000}"/>
    <cellStyle name="60% - アクセント 5 2" xfId="33" xr:uid="{00000000-0005-0000-0000-000020000000}"/>
    <cellStyle name="60% - アクセント 5 3" xfId="34" xr:uid="{00000000-0005-0000-0000-000021000000}"/>
    <cellStyle name="60% - アクセント 6 2" xfId="35" xr:uid="{00000000-0005-0000-0000-000022000000}"/>
    <cellStyle name="60% - アクセント 6 3" xfId="36" xr:uid="{00000000-0005-0000-0000-000023000000}"/>
    <cellStyle name="BD標準" xfId="37" xr:uid="{00000000-0005-0000-0000-000024000000}"/>
    <cellStyle name="Border" xfId="38" xr:uid="{00000000-0005-0000-0000-000025000000}"/>
    <cellStyle name="Calc Currency (0)" xfId="39" xr:uid="{00000000-0005-0000-0000-000026000000}"/>
    <cellStyle name="category" xfId="40" xr:uid="{00000000-0005-0000-0000-000027000000}"/>
    <cellStyle name="Comma [0]_CCOCPX" xfId="41" xr:uid="{00000000-0005-0000-0000-000028000000}"/>
    <cellStyle name="Comma_Capex" xfId="42" xr:uid="{00000000-0005-0000-0000-000029000000}"/>
    <cellStyle name="Currency [0]_CCOCPX" xfId="43" xr:uid="{00000000-0005-0000-0000-00002A000000}"/>
    <cellStyle name="Currency_CCOCPX" xfId="44" xr:uid="{00000000-0005-0000-0000-00002B000000}"/>
    <cellStyle name="Grey" xfId="45" xr:uid="{00000000-0005-0000-0000-00002C000000}"/>
    <cellStyle name="HEADER" xfId="46" xr:uid="{00000000-0005-0000-0000-00002D000000}"/>
    <cellStyle name="Header1" xfId="47" xr:uid="{00000000-0005-0000-0000-00002E000000}"/>
    <cellStyle name="Header2" xfId="48" xr:uid="{00000000-0005-0000-0000-00002F000000}"/>
    <cellStyle name="Input [yellow]" xfId="49" xr:uid="{00000000-0005-0000-0000-000030000000}"/>
    <cellStyle name="Model" xfId="50" xr:uid="{00000000-0005-0000-0000-000031000000}"/>
    <cellStyle name="Normal - Style1" xfId="51" xr:uid="{00000000-0005-0000-0000-000032000000}"/>
    <cellStyle name="Normal - Style1 2" xfId="52" xr:uid="{00000000-0005-0000-0000-000033000000}"/>
    <cellStyle name="Normal - Style1_001_【画面レイアウト】受発注・受注登録画面（ユーザ提示用）" xfId="53" xr:uid="{00000000-0005-0000-0000-000034000000}"/>
    <cellStyle name="Normal_#18-Internet" xfId="54" xr:uid="{00000000-0005-0000-0000-000035000000}"/>
    <cellStyle name="Percent [2]" xfId="55" xr:uid="{00000000-0005-0000-0000-000036000000}"/>
    <cellStyle name="PSChar" xfId="56" xr:uid="{00000000-0005-0000-0000-000037000000}"/>
    <cellStyle name="PSHeading" xfId="57" xr:uid="{00000000-0005-0000-0000-000038000000}"/>
    <cellStyle name="quest" xfId="58" xr:uid="{00000000-0005-0000-0000-000039000000}"/>
    <cellStyle name="subhead" xfId="59" xr:uid="{00000000-0005-0000-0000-00003A000000}"/>
    <cellStyle name="umeda" xfId="60" xr:uid="{00000000-0005-0000-0000-00003B000000}"/>
    <cellStyle name="アクセント 1 2" xfId="61" xr:uid="{00000000-0005-0000-0000-00003C000000}"/>
    <cellStyle name="アクセント 1 3" xfId="62" xr:uid="{00000000-0005-0000-0000-00003D000000}"/>
    <cellStyle name="アクセント 2 2" xfId="63" xr:uid="{00000000-0005-0000-0000-00003E000000}"/>
    <cellStyle name="アクセント 2 3" xfId="64" xr:uid="{00000000-0005-0000-0000-00003F000000}"/>
    <cellStyle name="アクセント 3 2" xfId="65" xr:uid="{00000000-0005-0000-0000-000040000000}"/>
    <cellStyle name="アクセント 3 3" xfId="66" xr:uid="{00000000-0005-0000-0000-000041000000}"/>
    <cellStyle name="アクセント 4 2" xfId="67" xr:uid="{00000000-0005-0000-0000-000042000000}"/>
    <cellStyle name="アクセント 4 3" xfId="68" xr:uid="{00000000-0005-0000-0000-000043000000}"/>
    <cellStyle name="アクセント 5 2" xfId="69" xr:uid="{00000000-0005-0000-0000-000044000000}"/>
    <cellStyle name="アクセント 5 3" xfId="70" xr:uid="{00000000-0005-0000-0000-000045000000}"/>
    <cellStyle name="アクセント 6 2" xfId="71" xr:uid="{00000000-0005-0000-0000-000046000000}"/>
    <cellStyle name="アクセント 6 3" xfId="72" xr:uid="{00000000-0005-0000-0000-000047000000}"/>
    <cellStyle name="タイトル 2" xfId="73" xr:uid="{00000000-0005-0000-0000-000048000000}"/>
    <cellStyle name="タイトル 3" xfId="74" xr:uid="{00000000-0005-0000-0000-000049000000}"/>
    <cellStyle name="チェック セル 2" xfId="75" xr:uid="{00000000-0005-0000-0000-00004A000000}"/>
    <cellStyle name="チェック セル 3" xfId="76" xr:uid="{00000000-0005-0000-0000-00004B000000}"/>
    <cellStyle name="どちらでもない 2" xfId="77" xr:uid="{00000000-0005-0000-0000-00004C000000}"/>
    <cellStyle name="どちらでもない 3" xfId="78" xr:uid="{00000000-0005-0000-0000-00004D000000}"/>
    <cellStyle name="パーセント 2" xfId="129" xr:uid="{8280C438-1AB7-478F-9305-5196EBE7F61D}"/>
    <cellStyle name="ハイパーリンク" xfId="136" builtinId="8"/>
    <cellStyle name="メモ 2" xfId="79" xr:uid="{00000000-0005-0000-0000-00004E000000}"/>
    <cellStyle name="メモ 3" xfId="80" xr:uid="{00000000-0005-0000-0000-00004F000000}"/>
    <cellStyle name="リンク セル 2" xfId="81" xr:uid="{00000000-0005-0000-0000-000050000000}"/>
    <cellStyle name="リンク セル 3" xfId="82" xr:uid="{00000000-0005-0000-0000-000051000000}"/>
    <cellStyle name="悪い 2" xfId="83" xr:uid="{00000000-0005-0000-0000-000052000000}"/>
    <cellStyle name="悪い 3" xfId="84" xr:uid="{00000000-0005-0000-0000-000053000000}"/>
    <cellStyle name="計算 2" xfId="85" xr:uid="{00000000-0005-0000-0000-000054000000}"/>
    <cellStyle name="計算 3" xfId="86" xr:uid="{00000000-0005-0000-0000-000055000000}"/>
    <cellStyle name="警告文 2" xfId="87" xr:uid="{00000000-0005-0000-0000-000056000000}"/>
    <cellStyle name="警告文 3" xfId="88" xr:uid="{00000000-0005-0000-0000-000057000000}"/>
    <cellStyle name="見出し 1 2" xfId="89" xr:uid="{00000000-0005-0000-0000-000058000000}"/>
    <cellStyle name="見出し 1 3" xfId="90" xr:uid="{00000000-0005-0000-0000-000059000000}"/>
    <cellStyle name="見出し 2 2" xfId="91" xr:uid="{00000000-0005-0000-0000-00005A000000}"/>
    <cellStyle name="見出し 2 3" xfId="92" xr:uid="{00000000-0005-0000-0000-00005B000000}"/>
    <cellStyle name="見出し 3 2" xfId="93" xr:uid="{00000000-0005-0000-0000-00005C000000}"/>
    <cellStyle name="見出し 3 3" xfId="94" xr:uid="{00000000-0005-0000-0000-00005D000000}"/>
    <cellStyle name="見出し 4 2" xfId="95" xr:uid="{00000000-0005-0000-0000-00005E000000}"/>
    <cellStyle name="見出し 4 3" xfId="96" xr:uid="{00000000-0005-0000-0000-00005F000000}"/>
    <cellStyle name="集計 2" xfId="97" xr:uid="{00000000-0005-0000-0000-000060000000}"/>
    <cellStyle name="集計 3" xfId="98" xr:uid="{00000000-0005-0000-0000-000061000000}"/>
    <cellStyle name="出力 2" xfId="99" xr:uid="{00000000-0005-0000-0000-000062000000}"/>
    <cellStyle name="出力 3" xfId="100" xr:uid="{00000000-0005-0000-0000-000063000000}"/>
    <cellStyle name="説明文 2" xfId="101" xr:uid="{00000000-0005-0000-0000-000064000000}"/>
    <cellStyle name="説明文 3" xfId="102" xr:uid="{00000000-0005-0000-0000-000065000000}"/>
    <cellStyle name="追加スタイル（梅田）" xfId="103" xr:uid="{00000000-0005-0000-0000-000066000000}"/>
    <cellStyle name="入力 2" xfId="104" xr:uid="{00000000-0005-0000-0000-000067000000}"/>
    <cellStyle name="入力 3" xfId="105" xr:uid="{00000000-0005-0000-0000-000068000000}"/>
    <cellStyle name="標準" xfId="0" builtinId="0"/>
    <cellStyle name="標準 2" xfId="106" xr:uid="{00000000-0005-0000-0000-00006A000000}"/>
    <cellStyle name="標準 2 2" xfId="131" xr:uid="{BF24CB21-D2DF-4CF9-97D8-A0E2CE44F022}"/>
    <cellStyle name="標準 3" xfId="107" xr:uid="{00000000-0005-0000-0000-00006B000000}"/>
    <cellStyle name="標準 3 2" xfId="126" xr:uid="{D5DDE0B4-2D27-4635-875F-069E5CAF4BA7}"/>
    <cellStyle name="標準 4" xfId="128" xr:uid="{16B04D87-7E03-4F81-B0D8-CF50D5BB2C61}"/>
    <cellStyle name="標準 4 2" xfId="125" xr:uid="{2CAC4627-D577-4372-B290-CC30CC59EF4E}"/>
    <cellStyle name="標準 4 2 2" xfId="127" xr:uid="{2545D5C4-F00D-4918-9AEF-391F2E6CFA05}"/>
    <cellStyle name="標準 5" xfId="130" xr:uid="{559461CE-5B30-4072-8656-B89B009C7FF3}"/>
    <cellStyle name="標準 6" xfId="132" xr:uid="{418C35C6-69F8-409A-A85E-6E64AC0FF749}"/>
    <cellStyle name="標準 7" xfId="133" xr:uid="{D90CE241-AE6B-40DA-B097-9B1ABFB01ABE}"/>
    <cellStyle name="標準 7 2" xfId="135" xr:uid="{C92B45CD-7CA4-4CA5-AE1E-D3FBCC154BCF}"/>
    <cellStyle name="標準 8" xfId="134" xr:uid="{46FDD8C6-C12B-4557-83FB-9DC41DE67923}"/>
    <cellStyle name="標準_05_単体テスト仕様書フォーマット" xfId="108" xr:uid="{00000000-0005-0000-0000-00006D000000}"/>
    <cellStyle name="標準_単体テスト仕様書Sample(PContBL)" xfId="109" xr:uid="{00000000-0005-0000-0000-00006E000000}"/>
    <cellStyle name="標準_値リスト" xfId="110" xr:uid="{00000000-0005-0000-0000-00006F000000}"/>
    <cellStyle name="標準仕様書" xfId="111" xr:uid="{00000000-0005-0000-0000-000070000000}"/>
    <cellStyle name="未定義" xfId="112" xr:uid="{00000000-0005-0000-0000-000071000000}"/>
    <cellStyle name="良い 2" xfId="113" xr:uid="{00000000-0005-0000-0000-000072000000}"/>
    <cellStyle name="良い 3" xfId="114" xr:uid="{00000000-0005-0000-0000-000073000000}"/>
    <cellStyle name="㼿" xfId="115" xr:uid="{00000000-0005-0000-0000-000074000000}"/>
    <cellStyle name="㼿?" xfId="116" xr:uid="{00000000-0005-0000-0000-000075000000}"/>
    <cellStyle name="㼿㼿" xfId="117" xr:uid="{00000000-0005-0000-0000-000076000000}"/>
    <cellStyle name="㼿㼿?" xfId="118" xr:uid="{00000000-0005-0000-0000-000077000000}"/>
    <cellStyle name="㼿㼿㼿" xfId="119" xr:uid="{00000000-0005-0000-0000-000078000000}"/>
    <cellStyle name="㼿㼿㼿?" xfId="120" xr:uid="{00000000-0005-0000-0000-000079000000}"/>
    <cellStyle name="㼿㼿㼿㼿" xfId="121" xr:uid="{00000000-0005-0000-0000-00007A000000}"/>
    <cellStyle name="㼿㼿㼿㼿?" xfId="122" xr:uid="{00000000-0005-0000-0000-00007B000000}"/>
    <cellStyle name="㼿㼿㼿㼿㼿㼿?" xfId="123" xr:uid="{00000000-0005-0000-0000-00007C000000}"/>
    <cellStyle name="㼿㼿㼿㼿㼿㼿㼿?" xfId="124" xr:uid="{00000000-0005-0000-0000-00007D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&#12481;&#12455;&#12483;&#12463;&#20966;&#29702;&#35211;&#30452;&#12375;&#12509;&#12452;&#12531;&#12488;&#25972;&#29702;_ver1.02.xlsx" TargetMode="External"/><Relationship Id="rId2" Type="http://schemas.openxmlformats.org/officeDocument/2006/relationships/externalLinkPath" Target="file:///C:\Users\user\Downloads\&#12481;&#12455;&#12483;&#12463;&#20966;&#29702;&#35211;&#30452;&#12375;&#12509;&#12452;&#12531;&#12488;&#25972;&#29702;_ver1.02.xlsx" TargetMode="External"/><Relationship Id="rId1" Type="http://schemas.openxmlformats.org/officeDocument/2006/relationships/externalLinkPath" Target="/Users/user/Downloads/&#12481;&#12455;&#12483;&#12463;&#20966;&#29702;&#35211;&#30452;&#12375;&#12509;&#12452;&#12531;&#12488;&#25972;&#29702;_ver1.0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-toda\Desktop\temp\&#21697;&#36074;&#20998;&#26512;\202507\&#21697;&#36074;&#20998;&#26512;&#12486;&#12531;&#12503;&#12524;&#12540;&#12488;_&#35373;&#35336;&#21697;&#36074;&#65288;&#12501;&#12457;&#12540;&#12510;&#12483;&#12488;&#65289;_&#24403;&#24037;&#31243;&#12496;&#12464;_&#20869;&#37096;&#12524;&#12499;&#12517;&#12540;.xlsm" TargetMode="External"/><Relationship Id="rId1" Type="http://schemas.openxmlformats.org/officeDocument/2006/relationships/externalLinkPath" Target="file:///\\18.181.124.33\moana\Users\e-toda\Desktop\temp\&#21697;&#36074;&#20998;&#26512;\202507\&#21697;&#36074;&#20998;&#26512;&#12486;&#12531;&#12503;&#12524;&#12540;&#12488;_&#35373;&#35336;&#21697;&#36074;&#65288;&#12501;&#12457;&#12540;&#12510;&#12483;&#12488;&#65289;_&#24403;&#24037;&#31243;&#12496;&#12464;_&#20869;&#37096;&#12524;&#12499;&#12517;&#12540;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cskinfo.sharepoint.com/sites/msteams_650fe7/Shared%20Documents/General/020_&#20250;&#35336;&#12471;&#12473;&#12486;&#12512;&#20877;&#27083;&#31689;_&#22806;&#37096;&#35373;&#35336;&#24037;&#31243;/100_&#12503;&#12525;&#12472;&#12455;&#12463;&#12488;&#31649;&#29702;/001_&#36914;&#25431;&#31649;&#29702;/01_WBS/&#36914;&#25431;&#31649;&#29702;&#12484;&#12540;&#12523;(&#22806;&#37096;&#35373;&#35336;_D&#12481;&#12540;&#12512;).xlsm" TargetMode="External"/><Relationship Id="rId1" Type="http://schemas.openxmlformats.org/officeDocument/2006/relationships/externalLinkPath" Target="https://scskinfo.sharepoint.com/sites/msteams_650fe7/Shared%20Documents/General/020_&#20250;&#35336;&#12471;&#12473;&#12486;&#12512;&#20877;&#27083;&#31689;_&#22806;&#37096;&#35373;&#35336;&#24037;&#31243;/100_&#12503;&#12525;&#12472;&#12455;&#12463;&#12488;&#31649;&#29702;/001_&#36914;&#25431;&#31649;&#29702;/01_WBS/&#36914;&#25431;&#31649;&#29702;&#12484;&#12540;&#12523;(&#22806;&#37096;&#35373;&#35336;_D&#12481;&#12540;&#12512;)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21336;&#20307;&#12486;&#12473;&#12488;&#20181;&#27096;&#26360;&#20860;&#32080;&#26524;&#22577;&#21578;&#26360;_8.5.1_&#20154;&#20214;&#36027;&#24773;&#22577;&#20837;&#21147;_3_&#19968;&#35239;&#30011;&#38754;.xlsx" TargetMode="External"/><Relationship Id="rId1" Type="http://schemas.openxmlformats.org/officeDocument/2006/relationships/externalLinkPath" Target="&#21336;&#20307;&#12486;&#12473;&#12488;&#20181;&#27096;&#26360;&#20860;&#32080;&#26524;&#22577;&#21578;&#26360;_8.5.1_&#20154;&#20214;&#36027;&#24773;&#22577;&#20837;&#21147;_3_&#19968;&#35239;&#30011;&#3875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2"/>
      <sheetName val="「F4105_画面共通編集説明書」に追記すべき事項"/>
      <sheetName val="画面設計書の「4.項目チェック（単体）」の欄外"/>
      <sheetName val="(参考・食肉）画面で使用する部品"/>
      <sheetName val="変更履歴"/>
    </sheetNames>
    <sheetDataSet>
      <sheetData sheetId="0"/>
      <sheetData sheetId="1"/>
      <sheetData sheetId="2">
        <row r="5">
          <cell r="BN5" t="str">
            <v>1必須入力チェック</v>
          </cell>
        </row>
        <row r="6">
          <cell r="BN6" t="str">
            <v>2整数最大値入力チェック</v>
          </cell>
        </row>
        <row r="7">
          <cell r="BN7" t="str">
            <v>3整数最小値入力チェック</v>
          </cell>
        </row>
        <row r="8">
          <cell r="BN8" t="str">
            <v>4小数最大桁入力チェック</v>
          </cell>
        </row>
        <row r="9">
          <cell r="BN9" t="str">
            <v>5小数最小桁入力チェック</v>
          </cell>
        </row>
        <row r="10">
          <cell r="BN10" t="str">
            <v>6文字列最大桁入力チェック</v>
          </cell>
        </row>
        <row r="11">
          <cell r="BN11" t="str">
            <v>7文字列最小桁入力チェック</v>
          </cell>
        </row>
        <row r="12">
          <cell r="BN12" t="str">
            <v>8文字列バイト最大桁入力チェック</v>
          </cell>
        </row>
        <row r="13">
          <cell r="BN13" t="str">
            <v>9文字列バイト最小桁入力チェック</v>
          </cell>
        </row>
        <row r="14">
          <cell r="BN14" t="str">
            <v>10正の整数入力チェック</v>
          </cell>
        </row>
        <row r="15">
          <cell r="BN15" t="str">
            <v>11ゼロ以外正の整数入力チェック</v>
          </cell>
        </row>
        <row r="16">
          <cell r="BN16" t="str">
            <v>12整数入力チェック</v>
          </cell>
        </row>
        <row r="17">
          <cell r="BN17" t="str">
            <v>13正の小数入力チェック</v>
          </cell>
        </row>
        <row r="18">
          <cell r="BN18" t="str">
            <v>14ゼロ以外正の小数入力チェック</v>
          </cell>
        </row>
        <row r="19">
          <cell r="BN19" t="str">
            <v>15小数入力チェック</v>
          </cell>
        </row>
        <row r="20">
          <cell r="BN20" t="str">
            <v>16年月日入力チェック</v>
          </cell>
        </row>
        <row r="21">
          <cell r="BN21" t="str">
            <v>17スラッシュ区切り年月日入力チェック</v>
          </cell>
        </row>
        <row r="22">
          <cell r="BN22" t="str">
            <v>18年月入力チェック</v>
          </cell>
        </row>
        <row r="23">
          <cell r="BN23" t="str">
            <v>19月日入力チェック</v>
          </cell>
        </row>
        <row r="24">
          <cell r="BN24" t="str">
            <v>20年入力チェック</v>
          </cell>
        </row>
        <row r="25">
          <cell r="BN25" t="str">
            <v>21月入力チェック</v>
          </cell>
        </row>
        <row r="26">
          <cell r="BN26" t="str">
            <v>22日入力チェック</v>
          </cell>
        </row>
        <row r="27">
          <cell r="BN27" t="str">
            <v>23時分秒入力チェック</v>
          </cell>
        </row>
        <row r="28">
          <cell r="BN28" t="str">
            <v>24時分入力チェック</v>
          </cell>
        </row>
        <row r="29">
          <cell r="BN29" t="str">
            <v>25時入力チェック</v>
          </cell>
        </row>
        <row r="30">
          <cell r="BN30" t="str">
            <v>26分入力チェック</v>
          </cell>
        </row>
        <row r="31">
          <cell r="BN31" t="str">
            <v>27秒入力チェック</v>
          </cell>
        </row>
        <row r="32">
          <cell r="BN32" t="str">
            <v>28数字文字列入力チェック</v>
          </cell>
        </row>
        <row r="33">
          <cell r="BN33" t="str">
            <v>29数字文字列と半角スペース入力チェック</v>
          </cell>
        </row>
        <row r="34">
          <cell r="BN34" t="str">
            <v>30数字文字列とハイフン入力チェック</v>
          </cell>
        </row>
        <row r="35">
          <cell r="BN35" t="str">
            <v>31英字入力チェック</v>
          </cell>
        </row>
        <row r="36">
          <cell r="BN36" t="str">
            <v>32英字と半角スペース入力チェック</v>
          </cell>
        </row>
        <row r="37">
          <cell r="BN37" t="str">
            <v>33英字と記号入力チェック</v>
          </cell>
        </row>
        <row r="38">
          <cell r="BN38" t="str">
            <v>34英字と記号と半角スペース入力チェック</v>
          </cell>
        </row>
        <row r="39">
          <cell r="BN39" t="str">
            <v>35英数字入力チェック</v>
          </cell>
        </row>
        <row r="40">
          <cell r="BN40" t="str">
            <v>36英数字と半角スペース入力チェック</v>
          </cell>
        </row>
        <row r="41">
          <cell r="BN41" t="str">
            <v>37英数字と記号入力チェック</v>
          </cell>
        </row>
        <row r="42">
          <cell r="BN42" t="str">
            <v>38英数字と記号と半角スペース入力チェック</v>
          </cell>
        </row>
        <row r="43">
          <cell r="BN43" t="str">
            <v>39英大文字入力チェック</v>
          </cell>
        </row>
        <row r="44">
          <cell r="BN44" t="str">
            <v>40英大文字と半角スペース入力チェック</v>
          </cell>
        </row>
        <row r="45">
          <cell r="BN45" t="str">
            <v>41英大文字と記号入力チェック</v>
          </cell>
        </row>
        <row r="46">
          <cell r="BN46" t="str">
            <v>42英大文字と記号と半角スペース入力チェック</v>
          </cell>
        </row>
        <row r="47">
          <cell r="BN47" t="str">
            <v>43英大文字と数字入力チェック</v>
          </cell>
        </row>
        <row r="48">
          <cell r="BN48" t="str">
            <v>44英大文字と数字と記号入力チェック</v>
          </cell>
        </row>
        <row r="49">
          <cell r="BN49" t="str">
            <v>45英大文字と数字と半角スペース入力チェック</v>
          </cell>
        </row>
        <row r="50">
          <cell r="BN50" t="str">
            <v>46英大文字と数字と記号と半角スペース入力チェック</v>
          </cell>
        </row>
        <row r="51">
          <cell r="BN51" t="str">
            <v>47半角カナ入力チェック</v>
          </cell>
        </row>
        <row r="52">
          <cell r="BN52" t="str">
            <v>48半角カナと半角スペース入力チェック</v>
          </cell>
        </row>
        <row r="53">
          <cell r="BN53" t="str">
            <v>49全角カナ入力チェック</v>
          </cell>
        </row>
        <row r="54">
          <cell r="BN54" t="str">
            <v>50漢字氏名入力チェック</v>
          </cell>
        </row>
        <row r="55">
          <cell r="BN55" t="str">
            <v>51ふりがな入力チェック</v>
          </cell>
        </row>
        <row r="56">
          <cell r="BN56" t="str">
            <v>52メールアドレス入力チェック</v>
          </cell>
        </row>
        <row r="57">
          <cell r="BN57" t="str">
            <v>53ユーザーID入力チェック</v>
          </cell>
        </row>
        <row r="58">
          <cell r="BN58" t="str">
            <v>54パスワード入力チェック</v>
          </cell>
        </row>
        <row r="59">
          <cell r="BN59" t="str">
            <v>55西暦日付チェック</v>
          </cell>
        </row>
        <row r="60">
          <cell r="BN60" t="str">
            <v>56和暦日付チェック</v>
          </cell>
        </row>
        <row r="61">
          <cell r="BN61" t="str">
            <v>57使用可能文字チェック</v>
          </cell>
        </row>
        <row r="62">
          <cell r="BN62" t="str">
            <v>58使用不可文字チェック</v>
          </cell>
        </row>
        <row r="63">
          <cell r="BN63" t="str">
            <v>59入力値チェック</v>
          </cell>
        </row>
        <row r="64">
          <cell r="BN64" t="str">
            <v>60時分チェック</v>
          </cell>
        </row>
        <row r="65">
          <cell r="BN65" t="str">
            <v>61全角半角混在文字列バイト数チェック(制御文字付加計算)</v>
          </cell>
        </row>
        <row r="66">
          <cell r="BN66" t="str">
            <v>62タイムスタンプ入力チェック</v>
          </cell>
        </row>
        <row r="67">
          <cell r="BN67" t="str">
            <v>63年月日大小比較チェック（日付1≦日付2）</v>
          </cell>
        </row>
        <row r="68">
          <cell r="BN68" t="str">
            <v>64数値比較チェック（数値1≦数値2）</v>
          </cell>
        </row>
        <row r="69">
          <cell r="BN69" t="str">
            <v>65数値比較チェック（数値1＜数値2）</v>
          </cell>
        </row>
        <row r="70">
          <cell r="BN70" t="str">
            <v>66文字列桁数チェック</v>
          </cell>
        </row>
      </sheetData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ツール実行ガイダンス"/>
      <sheetName val="Reference"/>
      <sheetName val="Reference（レビューア別）"/>
      <sheetName val="ゾーン分析図（レビュー対象成果物別）"/>
      <sheetName val="ゾーン分析図（機能別）"/>
      <sheetName val="ゾーン分析図（業務機能別）"/>
      <sheetName val="ゾーン分析図（レビューイ別）"/>
      <sheetName val="ゾーン分析図（レビューア別）"/>
      <sheetName val="ゾーン分析図（レビューアグループ別）"/>
      <sheetName val="パレート図"/>
      <sheetName val="分類区分の分布（業務機能別）"/>
      <sheetName val="分類区分の分布（レビューイ別）"/>
      <sheetName val="分類区分の分布（レビューア別）"/>
      <sheetName val="分類区分の分布（レビューアグループ別）"/>
      <sheetName val="（リスト）"/>
      <sheetName val="制御情報"/>
    </sheetNames>
    <sheetDataSet>
      <sheetData sheetId="0">
        <row r="13">
          <cell r="G13" t="str">
            <v>当工程バグ数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72">
          <cell r="C72" t="str">
            <v>要件漏れ</v>
          </cell>
        </row>
      </sheetData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メイン"/>
      <sheetName val="個人集計フォーマット"/>
      <sheetName val="全体進捗フォーマット"/>
      <sheetName val="月次報告フォーマット"/>
      <sheetName val="詳細WBSフォーマット"/>
      <sheetName val="グラフフォーマット"/>
      <sheetName val="全体進捗01月"/>
      <sheetName val="詳細WBS(要件定義)"/>
      <sheetName val="個人別出来高"/>
      <sheetName val="設定"/>
      <sheetName val="日次報告用"/>
      <sheetName val="稼動カレンダー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5">
          <cell r="A25" t="str">
            <v>画面レイアウト</v>
          </cell>
          <cell r="C25" t="str">
            <v>あああ</v>
          </cell>
          <cell r="E25" t="str">
            <v>PM</v>
          </cell>
        </row>
        <row r="26">
          <cell r="A26" t="str">
            <v>画面</v>
          </cell>
          <cell r="C26" t="str">
            <v>いいい</v>
          </cell>
          <cell r="E26" t="str">
            <v>SE</v>
          </cell>
        </row>
        <row r="27">
          <cell r="A27" t="str">
            <v>帳票レイアウト</v>
          </cell>
          <cell r="C27" t="str">
            <v>ううう</v>
          </cell>
          <cell r="E27" t="str">
            <v>PG</v>
          </cell>
        </row>
        <row r="28">
          <cell r="A28" t="str">
            <v>帳票</v>
          </cell>
          <cell r="C28" t="str">
            <v>えええ</v>
          </cell>
          <cell r="E28" t="str">
            <v>他</v>
          </cell>
        </row>
        <row r="29">
          <cell r="A29" t="str">
            <v>CSV</v>
          </cell>
          <cell r="C29" t="str">
            <v>おおお</v>
          </cell>
        </row>
        <row r="30">
          <cell r="A30" t="str">
            <v>バッチ</v>
          </cell>
        </row>
        <row r="31">
          <cell r="A31" t="str">
            <v>事前確認</v>
          </cell>
        </row>
        <row r="32">
          <cell r="A32" t="str">
            <v>レビューバック</v>
          </cell>
        </row>
        <row r="33">
          <cell r="A33" t="str">
            <v>レビュー</v>
          </cell>
        </row>
      </sheetData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表紙"/>
      <sheetName val="改訂履歴"/>
      <sheetName val="前提"/>
      <sheetName val="テスト一覧"/>
      <sheetName val="テスト仕様（No.201）"/>
      <sheetName val="画面レイアウト・入出力項目全般確認（No.201）"/>
      <sheetName val="テストデータDB（No.201）"/>
      <sheetName val="テスト仕様（No.202）"/>
      <sheetName val="テストデータ期待値（No.202)"/>
      <sheetName val="テストデータDB（No.202）"/>
      <sheetName val="テスト仕様（No.203）"/>
      <sheetName val="テストデータ期待値（No.203）"/>
      <sheetName val="テストデータDB（No.203）"/>
      <sheetName val="テスト仕様（No.204）"/>
      <sheetName val="テストデータ期待値（No.204)"/>
      <sheetName val="テスト仕様（No.205）"/>
      <sheetName val="テスト仕様（No.206）"/>
      <sheetName val="テスト仕様（No.207）"/>
    </sheetNames>
    <sheetDataSet>
      <sheetData sheetId="0"/>
      <sheetData sheetId="1"/>
      <sheetData sheetId="2"/>
      <sheetData sheetId="3"/>
      <sheetData sheetId="4"/>
      <sheetData sheetId="5">
        <row r="5">
          <cell r="CB5" t="str">
            <v>数字入力</v>
          </cell>
        </row>
        <row r="6">
          <cell r="CB6" t="str">
            <v>数字入力</v>
          </cell>
        </row>
        <row r="7">
          <cell r="CB7" t="str">
            <v>チェックボックス</v>
          </cell>
        </row>
        <row r="8">
          <cell r="CB8" t="str">
            <v>チェックボックス</v>
          </cell>
        </row>
        <row r="9">
          <cell r="CB9" t="str">
            <v>チェックボックス</v>
          </cell>
        </row>
        <row r="10">
          <cell r="CB10" t="str">
            <v>チェックボックス</v>
          </cell>
        </row>
        <row r="11">
          <cell r="CB11" t="str">
            <v>チェックボックス</v>
          </cell>
        </row>
        <row r="13">
          <cell r="CB13" t="str">
            <v>チェックボックス</v>
          </cell>
        </row>
        <row r="14">
          <cell r="CB14" t="str">
            <v>ラベル</v>
          </cell>
        </row>
        <row r="15">
          <cell r="CB15" t="str">
            <v>ラベル</v>
          </cell>
        </row>
        <row r="16">
          <cell r="CB16" t="str">
            <v>ラベル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bg1"/>
        </a:solidFill>
        <a:ln>
          <a:solidFill>
            <a:srgbClr val="FF0000"/>
          </a:solidFill>
        </a:ln>
      </a:spPr>
      <a:bodyPr vertOverflow="clip" horzOverflow="clip" rtlCol="0" anchor="t"/>
      <a:lstStyle>
        <a:defPPr algn="l">
          <a:defRPr kumimoji="1" sz="1100" kern="1200">
            <a:solidFill>
              <a:schemeClr val="tx1"/>
            </a:solidFill>
          </a:defRPr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example.com/ref/tc06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example.com/ref/tc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W27"/>
  <sheetViews>
    <sheetView tabSelected="1" zoomScaleNormal="100" workbookViewId="0"/>
  </sheetViews>
  <sheetFormatPr defaultColWidth="3" defaultRowHeight="13.5"/>
  <cols>
    <col min="1" max="55" width="3" style="8"/>
    <col min="56" max="56" width="4.625" style="8" bestFit="1" customWidth="1"/>
    <col min="57" max="58" width="3" style="8"/>
    <col min="59" max="59" width="4.625" style="8" bestFit="1" customWidth="1"/>
    <col min="60" max="16384" width="3" style="8"/>
  </cols>
  <sheetData>
    <row r="1" spans="1:49">
      <c r="AQ1" s="59" t="s">
        <v>0</v>
      </c>
    </row>
    <row r="2" spans="1:49">
      <c r="AQ2" s="59"/>
    </row>
    <row r="3" spans="1:49" ht="14.25" thickBot="1"/>
    <row r="4" spans="1:49">
      <c r="A4" s="133" t="s">
        <v>61</v>
      </c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4"/>
      <c r="AQ4" s="134"/>
      <c r="AR4" s="134"/>
      <c r="AS4" s="134"/>
      <c r="AT4" s="134"/>
      <c r="AU4" s="134"/>
      <c r="AV4" s="134"/>
      <c r="AW4" s="135"/>
    </row>
    <row r="5" spans="1:49">
      <c r="A5" s="136"/>
      <c r="B5" s="137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  <c r="AA5" s="137"/>
      <c r="AB5" s="137"/>
      <c r="AC5" s="137"/>
      <c r="AD5" s="137"/>
      <c r="AE5" s="137"/>
      <c r="AF5" s="137"/>
      <c r="AG5" s="137"/>
      <c r="AH5" s="137"/>
      <c r="AI5" s="137"/>
      <c r="AJ5" s="137"/>
      <c r="AK5" s="137"/>
      <c r="AL5" s="137"/>
      <c r="AM5" s="137"/>
      <c r="AN5" s="137"/>
      <c r="AO5" s="137"/>
      <c r="AP5" s="137"/>
      <c r="AQ5" s="137"/>
      <c r="AR5" s="137"/>
      <c r="AS5" s="137"/>
      <c r="AT5" s="137"/>
      <c r="AU5" s="137"/>
      <c r="AV5" s="137"/>
      <c r="AW5" s="138"/>
    </row>
    <row r="6" spans="1:49">
      <c r="A6" s="136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37"/>
      <c r="AH6" s="137"/>
      <c r="AI6" s="137"/>
      <c r="AJ6" s="137"/>
      <c r="AK6" s="137"/>
      <c r="AL6" s="137"/>
      <c r="AM6" s="137"/>
      <c r="AN6" s="137"/>
      <c r="AO6" s="137"/>
      <c r="AP6" s="137"/>
      <c r="AQ6" s="137"/>
      <c r="AR6" s="137"/>
      <c r="AS6" s="137"/>
      <c r="AT6" s="137"/>
      <c r="AU6" s="137"/>
      <c r="AV6" s="137"/>
      <c r="AW6" s="138"/>
    </row>
    <row r="7" spans="1:49">
      <c r="A7" s="136"/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137"/>
      <c r="AB7" s="137"/>
      <c r="AC7" s="137"/>
      <c r="AD7" s="137"/>
      <c r="AE7" s="137"/>
      <c r="AF7" s="137"/>
      <c r="AG7" s="137"/>
      <c r="AH7" s="137"/>
      <c r="AI7" s="137"/>
      <c r="AJ7" s="137"/>
      <c r="AK7" s="137"/>
      <c r="AL7" s="137"/>
      <c r="AM7" s="137"/>
      <c r="AN7" s="137"/>
      <c r="AO7" s="137"/>
      <c r="AP7" s="137"/>
      <c r="AQ7" s="137"/>
      <c r="AR7" s="137"/>
      <c r="AS7" s="137"/>
      <c r="AT7" s="137"/>
      <c r="AU7" s="137"/>
      <c r="AV7" s="137"/>
      <c r="AW7" s="138"/>
    </row>
    <row r="8" spans="1:49">
      <c r="A8" s="136"/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137"/>
      <c r="AC8" s="137"/>
      <c r="AD8" s="137"/>
      <c r="AE8" s="137"/>
      <c r="AF8" s="137"/>
      <c r="AG8" s="137"/>
      <c r="AH8" s="137"/>
      <c r="AI8" s="137"/>
      <c r="AJ8" s="137"/>
      <c r="AK8" s="137"/>
      <c r="AL8" s="137"/>
      <c r="AM8" s="137"/>
      <c r="AN8" s="137"/>
      <c r="AO8" s="137"/>
      <c r="AP8" s="137"/>
      <c r="AQ8" s="137"/>
      <c r="AR8" s="137"/>
      <c r="AS8" s="137"/>
      <c r="AT8" s="137"/>
      <c r="AU8" s="137"/>
      <c r="AV8" s="137"/>
      <c r="AW8" s="138"/>
    </row>
    <row r="9" spans="1:49">
      <c r="A9" s="136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7"/>
      <c r="AG9" s="137"/>
      <c r="AH9" s="137"/>
      <c r="AI9" s="137"/>
      <c r="AJ9" s="137"/>
      <c r="AK9" s="137"/>
      <c r="AL9" s="137"/>
      <c r="AM9" s="137"/>
      <c r="AN9" s="137"/>
      <c r="AO9" s="137"/>
      <c r="AP9" s="137"/>
      <c r="AQ9" s="137"/>
      <c r="AR9" s="137"/>
      <c r="AS9" s="137"/>
      <c r="AT9" s="137"/>
      <c r="AU9" s="137"/>
      <c r="AV9" s="137"/>
      <c r="AW9" s="138"/>
    </row>
    <row r="10" spans="1:49">
      <c r="A10" s="136"/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37"/>
      <c r="AL10" s="137"/>
      <c r="AM10" s="137"/>
      <c r="AN10" s="137"/>
      <c r="AO10" s="137"/>
      <c r="AP10" s="137"/>
      <c r="AQ10" s="137"/>
      <c r="AR10" s="137"/>
      <c r="AS10" s="137"/>
      <c r="AT10" s="137"/>
      <c r="AU10" s="137"/>
      <c r="AV10" s="137"/>
      <c r="AW10" s="138"/>
    </row>
    <row r="11" spans="1:49" ht="14.25" thickBot="1">
      <c r="A11" s="139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140"/>
      <c r="AD11" s="140"/>
      <c r="AE11" s="140"/>
      <c r="AF11" s="140"/>
      <c r="AG11" s="140"/>
      <c r="AH11" s="140"/>
      <c r="AI11" s="140"/>
      <c r="AJ11" s="140"/>
      <c r="AK11" s="140"/>
      <c r="AL11" s="140"/>
      <c r="AM11" s="140"/>
      <c r="AN11" s="140"/>
      <c r="AO11" s="140"/>
      <c r="AP11" s="140"/>
      <c r="AQ11" s="140"/>
      <c r="AR11" s="140"/>
      <c r="AS11" s="140"/>
      <c r="AT11" s="140"/>
      <c r="AU11" s="140"/>
      <c r="AV11" s="140"/>
      <c r="AW11" s="141"/>
    </row>
    <row r="13" spans="1:49" ht="14.25" thickBot="1"/>
    <row r="14" spans="1:49" ht="26.25" customHeight="1">
      <c r="A14" s="142" t="s">
        <v>1</v>
      </c>
      <c r="B14" s="143"/>
      <c r="C14" s="143"/>
      <c r="D14" s="143"/>
      <c r="E14" s="143"/>
      <c r="F14" s="143"/>
      <c r="G14" s="144"/>
      <c r="H14" s="145" t="s">
        <v>59</v>
      </c>
      <c r="I14" s="146"/>
      <c r="J14" s="146"/>
      <c r="K14" s="146"/>
      <c r="L14" s="146"/>
      <c r="M14" s="146"/>
      <c r="N14" s="146"/>
      <c r="O14" s="146"/>
      <c r="P14" s="146"/>
      <c r="Q14" s="146"/>
      <c r="R14" s="146"/>
      <c r="S14" s="146"/>
      <c r="T14" s="146"/>
      <c r="U14" s="146"/>
      <c r="V14" s="146"/>
      <c r="W14" s="147"/>
      <c r="X14" s="142" t="s">
        <v>2</v>
      </c>
      <c r="Y14" s="143"/>
      <c r="Z14" s="143"/>
      <c r="AA14" s="143"/>
      <c r="AB14" s="143"/>
      <c r="AC14" s="144"/>
      <c r="AD14" s="145" t="s">
        <v>55</v>
      </c>
      <c r="AE14" s="146"/>
      <c r="AF14" s="146"/>
      <c r="AG14" s="146"/>
      <c r="AH14" s="146"/>
      <c r="AI14" s="146"/>
      <c r="AJ14" s="146"/>
      <c r="AK14" s="146"/>
      <c r="AL14" s="146"/>
      <c r="AM14" s="146"/>
      <c r="AN14" s="146"/>
      <c r="AO14" s="146"/>
      <c r="AP14" s="146"/>
      <c r="AQ14" s="146"/>
      <c r="AR14" s="146"/>
      <c r="AS14" s="146"/>
      <c r="AT14" s="146"/>
      <c r="AU14" s="146"/>
      <c r="AV14" s="146"/>
      <c r="AW14" s="147"/>
    </row>
    <row r="15" spans="1:49" ht="26.25" customHeight="1">
      <c r="A15" s="130" t="s">
        <v>3</v>
      </c>
      <c r="B15" s="131"/>
      <c r="C15" s="131"/>
      <c r="D15" s="131"/>
      <c r="E15" s="131"/>
      <c r="F15" s="131"/>
      <c r="G15" s="132"/>
      <c r="H15" s="123" t="s">
        <v>59</v>
      </c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24"/>
      <c r="W15" s="125"/>
      <c r="X15" s="130" t="s">
        <v>4</v>
      </c>
      <c r="Y15" s="131"/>
      <c r="Z15" s="131"/>
      <c r="AA15" s="131"/>
      <c r="AB15" s="131"/>
      <c r="AC15" s="132"/>
      <c r="AD15" s="123" t="s">
        <v>56</v>
      </c>
      <c r="AE15" s="124"/>
      <c r="AF15" s="124"/>
      <c r="AG15" s="124"/>
      <c r="AH15" s="124"/>
      <c r="AI15" s="124"/>
      <c r="AJ15" s="124"/>
      <c r="AK15" s="124"/>
      <c r="AL15" s="124"/>
      <c r="AM15" s="124"/>
      <c r="AN15" s="124"/>
      <c r="AO15" s="124"/>
      <c r="AP15" s="124"/>
      <c r="AQ15" s="124"/>
      <c r="AR15" s="124"/>
      <c r="AS15" s="124"/>
      <c r="AT15" s="124"/>
      <c r="AU15" s="124"/>
      <c r="AV15" s="124"/>
      <c r="AW15" s="125"/>
    </row>
    <row r="16" spans="1:49" ht="26.25" customHeight="1">
      <c r="A16" s="120" t="s">
        <v>5</v>
      </c>
      <c r="B16" s="121"/>
      <c r="C16" s="121"/>
      <c r="D16" s="121"/>
      <c r="E16" s="121"/>
      <c r="F16" s="121"/>
      <c r="G16" s="122"/>
      <c r="H16" s="123" t="s">
        <v>59</v>
      </c>
      <c r="I16" s="124"/>
      <c r="J16" s="124"/>
      <c r="K16" s="124"/>
      <c r="L16" s="124"/>
      <c r="M16" s="124"/>
      <c r="N16" s="124"/>
      <c r="O16" s="124"/>
      <c r="P16" s="124"/>
      <c r="Q16" s="124"/>
      <c r="R16" s="124"/>
      <c r="S16" s="124"/>
      <c r="T16" s="124"/>
      <c r="U16" s="124"/>
      <c r="V16" s="124"/>
      <c r="W16" s="125"/>
      <c r="X16" s="120" t="s">
        <v>6</v>
      </c>
      <c r="Y16" s="121"/>
      <c r="Z16" s="121"/>
      <c r="AA16" s="121"/>
      <c r="AB16" s="121"/>
      <c r="AC16" s="122"/>
      <c r="AD16" s="123" t="s">
        <v>60</v>
      </c>
      <c r="AE16" s="124"/>
      <c r="AF16" s="124"/>
      <c r="AG16" s="124"/>
      <c r="AH16" s="124"/>
      <c r="AI16" s="124"/>
      <c r="AJ16" s="124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  <c r="AU16" s="124"/>
      <c r="AV16" s="124"/>
      <c r="AW16" s="125"/>
    </row>
    <row r="17" spans="1:49" ht="26.25" customHeight="1">
      <c r="A17" s="120" t="s">
        <v>7</v>
      </c>
      <c r="B17" s="121"/>
      <c r="C17" s="121"/>
      <c r="D17" s="121"/>
      <c r="E17" s="121"/>
      <c r="F17" s="121"/>
      <c r="G17" s="122"/>
      <c r="H17" s="123" t="s">
        <v>102</v>
      </c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24"/>
      <c r="T17" s="124"/>
      <c r="U17" s="124"/>
      <c r="V17" s="124"/>
      <c r="W17" s="125"/>
      <c r="X17" s="120" t="s">
        <v>8</v>
      </c>
      <c r="Y17" s="121"/>
      <c r="Z17" s="121"/>
      <c r="AA17" s="121"/>
      <c r="AB17" s="121"/>
      <c r="AC17" s="122"/>
      <c r="AD17" s="123" t="s">
        <v>103</v>
      </c>
      <c r="AE17" s="124"/>
      <c r="AF17" s="124"/>
      <c r="AG17" s="124"/>
      <c r="AH17" s="124"/>
      <c r="AI17" s="124"/>
      <c r="AJ17" s="124"/>
      <c r="AK17" s="124"/>
      <c r="AL17" s="124"/>
      <c r="AM17" s="124"/>
      <c r="AN17" s="124"/>
      <c r="AO17" s="124"/>
      <c r="AP17" s="124"/>
      <c r="AQ17" s="124"/>
      <c r="AR17" s="124"/>
      <c r="AS17" s="124"/>
      <c r="AT17" s="124"/>
      <c r="AU17" s="124"/>
      <c r="AV17" s="124"/>
      <c r="AW17" s="125"/>
    </row>
    <row r="18" spans="1:49" ht="26.25" customHeight="1">
      <c r="A18" s="120" t="s">
        <v>9</v>
      </c>
      <c r="B18" s="121"/>
      <c r="C18" s="121"/>
      <c r="D18" s="121"/>
      <c r="E18" s="121"/>
      <c r="F18" s="121"/>
      <c r="G18" s="122"/>
      <c r="H18" s="123" t="s">
        <v>59</v>
      </c>
      <c r="I18" s="124"/>
      <c r="J18" s="124"/>
      <c r="K18" s="124"/>
      <c r="L18" s="124"/>
      <c r="M18" s="124"/>
      <c r="N18" s="124"/>
      <c r="O18" s="124"/>
      <c r="P18" s="124"/>
      <c r="Q18" s="124"/>
      <c r="R18" s="124"/>
      <c r="S18" s="124"/>
      <c r="T18" s="124"/>
      <c r="U18" s="124"/>
      <c r="V18" s="124"/>
      <c r="W18" s="125"/>
      <c r="X18" s="120" t="s">
        <v>10</v>
      </c>
      <c r="Y18" s="121"/>
      <c r="Z18" s="121"/>
      <c r="AA18" s="121"/>
      <c r="AB18" s="121"/>
      <c r="AC18" s="122"/>
      <c r="AD18" s="123" t="s">
        <v>60</v>
      </c>
      <c r="AE18" s="124"/>
      <c r="AF18" s="124"/>
      <c r="AG18" s="124"/>
      <c r="AH18" s="124"/>
      <c r="AI18" s="124"/>
      <c r="AJ18" s="124"/>
      <c r="AK18" s="124"/>
      <c r="AL18" s="124"/>
      <c r="AM18" s="124"/>
      <c r="AN18" s="124"/>
      <c r="AO18" s="124"/>
      <c r="AP18" s="124"/>
      <c r="AQ18" s="124"/>
      <c r="AR18" s="124"/>
      <c r="AS18" s="124"/>
      <c r="AT18" s="124"/>
      <c r="AU18" s="124"/>
      <c r="AV18" s="124"/>
      <c r="AW18" s="125"/>
    </row>
    <row r="19" spans="1:49" ht="26.25" customHeight="1">
      <c r="A19" s="120" t="s">
        <v>11</v>
      </c>
      <c r="B19" s="121"/>
      <c r="C19" s="121"/>
      <c r="D19" s="121"/>
      <c r="E19" s="121"/>
      <c r="F19" s="121"/>
      <c r="G19" s="122"/>
      <c r="H19" s="126">
        <v>46153</v>
      </c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8"/>
      <c r="X19" s="120" t="s">
        <v>12</v>
      </c>
      <c r="Y19" s="121"/>
      <c r="Z19" s="121"/>
      <c r="AA19" s="121"/>
      <c r="AB19" s="121"/>
      <c r="AC19" s="122"/>
      <c r="AD19" s="129" t="s">
        <v>104</v>
      </c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24"/>
      <c r="AV19" s="124"/>
      <c r="AW19" s="125"/>
    </row>
    <row r="20" spans="1:49" ht="26.25" customHeight="1" thickBot="1">
      <c r="A20" s="109" t="s">
        <v>13</v>
      </c>
      <c r="B20" s="110"/>
      <c r="C20" s="110"/>
      <c r="D20" s="110"/>
      <c r="E20" s="110"/>
      <c r="F20" s="110"/>
      <c r="G20" s="111"/>
      <c r="H20" s="112" t="s">
        <v>58</v>
      </c>
      <c r="I20" s="113"/>
      <c r="J20" s="113"/>
      <c r="K20" s="113"/>
      <c r="L20" s="113"/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W20" s="114"/>
      <c r="X20" s="109" t="s">
        <v>14</v>
      </c>
      <c r="Y20" s="110"/>
      <c r="Z20" s="110"/>
      <c r="AA20" s="110"/>
      <c r="AB20" s="110"/>
      <c r="AC20" s="111"/>
      <c r="AD20" s="115" t="s">
        <v>57</v>
      </c>
      <c r="AE20" s="116"/>
      <c r="AF20" s="116"/>
      <c r="AG20" s="116"/>
      <c r="AH20" s="116"/>
      <c r="AI20" s="116"/>
      <c r="AJ20" s="116"/>
      <c r="AK20" s="116"/>
      <c r="AL20" s="116"/>
      <c r="AM20" s="116"/>
      <c r="AN20" s="116"/>
      <c r="AO20" s="116"/>
      <c r="AP20" s="116"/>
      <c r="AQ20" s="116"/>
      <c r="AR20" s="116"/>
      <c r="AS20" s="116"/>
      <c r="AT20" s="116"/>
      <c r="AU20" s="116"/>
      <c r="AV20" s="116"/>
      <c r="AW20" s="117"/>
    </row>
    <row r="21" spans="1:49" ht="26.25" customHeight="1">
      <c r="A21" s="118"/>
      <c r="B21" s="118"/>
      <c r="C21" s="118"/>
      <c r="D21" s="118"/>
      <c r="E21" s="118"/>
      <c r="F21" s="118"/>
      <c r="G21" s="118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18"/>
      <c r="Y21" s="118"/>
      <c r="Z21" s="118"/>
      <c r="AA21" s="118"/>
      <c r="AB21" s="118"/>
      <c r="AC21" s="118"/>
      <c r="AD21" s="9"/>
      <c r="AE21" s="9"/>
      <c r="AF21" s="9"/>
      <c r="AG21" s="9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</row>
    <row r="22" spans="1:49" ht="26.25" customHeight="1">
      <c r="A22" s="60"/>
      <c r="B22" s="60"/>
      <c r="C22" s="60"/>
      <c r="D22" s="60"/>
      <c r="E22" s="60"/>
      <c r="F22" s="60"/>
      <c r="G22" s="60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60"/>
      <c r="Y22" s="60"/>
      <c r="Z22" s="60"/>
      <c r="AA22" s="60"/>
      <c r="AB22" s="60"/>
      <c r="AC22" s="60"/>
      <c r="AD22" s="9"/>
      <c r="AE22" s="9"/>
      <c r="AF22" s="9"/>
      <c r="AG22" s="9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</row>
    <row r="23" spans="1:49" ht="26.25" customHeight="1">
      <c r="A23" s="60"/>
      <c r="B23" s="60"/>
      <c r="C23" s="60"/>
      <c r="D23" s="60"/>
      <c r="E23" s="60"/>
      <c r="F23" s="60"/>
      <c r="G23" s="60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60"/>
      <c r="Y23" s="60"/>
      <c r="Z23" s="60"/>
      <c r="AA23" s="60"/>
      <c r="AB23" s="60"/>
      <c r="AC23" s="60"/>
      <c r="AD23" s="9"/>
      <c r="AE23" s="9"/>
      <c r="AF23" s="9"/>
      <c r="AG23" s="9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</row>
    <row r="25" spans="1:49" ht="15" thickBot="1">
      <c r="L25" s="11" t="s">
        <v>15</v>
      </c>
    </row>
    <row r="26" spans="1:49" ht="27" customHeight="1">
      <c r="E26" s="119"/>
      <c r="F26" s="119"/>
      <c r="G26" s="119"/>
      <c r="H26" s="119"/>
      <c r="I26" s="119"/>
      <c r="J26" s="119"/>
      <c r="K26" s="119"/>
      <c r="L26" s="106"/>
      <c r="M26" s="107"/>
      <c r="N26" s="107"/>
      <c r="O26" s="107"/>
      <c r="P26" s="108"/>
      <c r="Q26" s="107"/>
      <c r="R26" s="107"/>
      <c r="S26" s="107"/>
      <c r="T26" s="107"/>
      <c r="U26" s="108"/>
      <c r="V26" s="106"/>
      <c r="W26" s="107"/>
      <c r="X26" s="107"/>
      <c r="Y26" s="107"/>
      <c r="Z26" s="108"/>
      <c r="AA26" s="106"/>
      <c r="AB26" s="107"/>
      <c r="AC26" s="107"/>
      <c r="AD26" s="107"/>
      <c r="AE26" s="108"/>
      <c r="AF26" s="106"/>
      <c r="AG26" s="107"/>
      <c r="AH26" s="107"/>
      <c r="AI26" s="107"/>
      <c r="AJ26" s="108"/>
    </row>
    <row r="27" spans="1:49" ht="78" customHeight="1" thickBot="1">
      <c r="E27" s="12"/>
      <c r="F27" s="12"/>
      <c r="G27" s="12"/>
      <c r="H27" s="13"/>
      <c r="I27" s="12"/>
      <c r="J27" s="12"/>
      <c r="K27" s="12"/>
      <c r="L27" s="103" t="s">
        <v>16</v>
      </c>
      <c r="M27" s="104"/>
      <c r="N27" s="104"/>
      <c r="O27" s="104"/>
      <c r="P27" s="105"/>
      <c r="Q27" s="103" t="s">
        <v>16</v>
      </c>
      <c r="R27" s="104"/>
      <c r="S27" s="104"/>
      <c r="T27" s="104"/>
      <c r="U27" s="105"/>
      <c r="V27" s="103" t="s">
        <v>16</v>
      </c>
      <c r="W27" s="104"/>
      <c r="X27" s="104"/>
      <c r="Y27" s="104"/>
      <c r="Z27" s="105"/>
      <c r="AA27" s="103" t="s">
        <v>16</v>
      </c>
      <c r="AB27" s="104"/>
      <c r="AC27" s="104"/>
      <c r="AD27" s="104"/>
      <c r="AE27" s="105"/>
      <c r="AF27" s="103" t="s">
        <v>16</v>
      </c>
      <c r="AG27" s="104"/>
      <c r="AH27" s="104"/>
      <c r="AI27" s="104"/>
      <c r="AJ27" s="105"/>
    </row>
  </sheetData>
  <mergeCells count="42">
    <mergeCell ref="A15:G15"/>
    <mergeCell ref="H15:W15"/>
    <mergeCell ref="X15:AC15"/>
    <mergeCell ref="AD15:AW15"/>
    <mergeCell ref="A4:AW11"/>
    <mergeCell ref="A14:G14"/>
    <mergeCell ref="H14:W14"/>
    <mergeCell ref="X14:AC14"/>
    <mergeCell ref="AD14:AW14"/>
    <mergeCell ref="A16:G16"/>
    <mergeCell ref="H16:W16"/>
    <mergeCell ref="X16:AC16"/>
    <mergeCell ref="AD16:AW16"/>
    <mergeCell ref="A17:G17"/>
    <mergeCell ref="H17:W17"/>
    <mergeCell ref="X17:AC17"/>
    <mergeCell ref="AD17:AW17"/>
    <mergeCell ref="A18:G18"/>
    <mergeCell ref="H18:W18"/>
    <mergeCell ref="X18:AC18"/>
    <mergeCell ref="AD18:AW18"/>
    <mergeCell ref="A19:G19"/>
    <mergeCell ref="H19:W19"/>
    <mergeCell ref="X19:AC19"/>
    <mergeCell ref="AD19:AW19"/>
    <mergeCell ref="AF26:AJ26"/>
    <mergeCell ref="A20:G20"/>
    <mergeCell ref="H20:W20"/>
    <mergeCell ref="X20:AC20"/>
    <mergeCell ref="AD20:AW20"/>
    <mergeCell ref="A21:G21"/>
    <mergeCell ref="X21:AC21"/>
    <mergeCell ref="E26:K26"/>
    <mergeCell ref="L26:P26"/>
    <mergeCell ref="Q26:U26"/>
    <mergeCell ref="V26:Z26"/>
    <mergeCell ref="AA26:AE26"/>
    <mergeCell ref="L27:P27"/>
    <mergeCell ref="Q27:U27"/>
    <mergeCell ref="V27:Z27"/>
    <mergeCell ref="AA27:AE27"/>
    <mergeCell ref="AF27:AJ27"/>
  </mergeCells>
  <phoneticPr fontId="8"/>
  <printOptions horizontalCentered="1" verticalCentered="1"/>
  <pageMargins left="0.27559055118110237" right="0.27559055118110237" top="0.59055118110236227" bottom="0.39370078740157483" header="0.39370078740157483" footer="0.19685039370078741"/>
  <pageSetup paperSize="9" scale="92" fitToHeight="0" orientation="landscape" r:id="rId1"/>
  <headerFooter alignWithMargins="0">
    <oddFooter>&amp;L&amp;"ＭＳ Ｐゴシック,標準"&amp;9（ES0402-F01_単体テスト仕様書兼結果報告書 20161003 Ver.1.2）&amp;C&amp;"ＭＳ Ｐゴシック,標準"&amp;9&amp;P / &amp;N&amp;R&amp;"ＭＳ Ｐゴシック,標準"&amp;9Copyright© 2013 SCSK Corporation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EX21"/>
  <sheetViews>
    <sheetView zoomScaleNormal="100" workbookViewId="0"/>
  </sheetViews>
  <sheetFormatPr defaultColWidth="5" defaultRowHeight="15" customHeight="1"/>
  <cols>
    <col min="1" max="1" width="5" style="15" customWidth="1"/>
    <col min="2" max="2" width="10.25" style="58" customWidth="1"/>
    <col min="3" max="3" width="33.75" style="15" customWidth="1"/>
    <col min="4" max="4" width="58.25" style="15" customWidth="1"/>
    <col min="5" max="5" width="21.25" style="15" customWidth="1"/>
    <col min="6" max="8" width="11.75" style="15" customWidth="1"/>
    <col min="9" max="16384" width="5" style="15"/>
  </cols>
  <sheetData>
    <row r="1" spans="1:154" ht="30" customHeight="1">
      <c r="A1" s="49" t="s">
        <v>17</v>
      </c>
      <c r="B1" s="49" t="s">
        <v>18</v>
      </c>
      <c r="C1" s="49" t="s">
        <v>19</v>
      </c>
      <c r="D1" s="49" t="s">
        <v>20</v>
      </c>
      <c r="E1" s="40" t="s">
        <v>21</v>
      </c>
      <c r="F1" s="40" t="s">
        <v>22</v>
      </c>
      <c r="G1" s="40" t="s">
        <v>23</v>
      </c>
      <c r="H1" s="40" t="s">
        <v>24</v>
      </c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</row>
    <row r="2" spans="1:154" ht="15" customHeight="1">
      <c r="A2" s="148">
        <f>ROW()-1</f>
        <v>1</v>
      </c>
      <c r="B2" s="150"/>
      <c r="C2" s="152"/>
      <c r="D2" s="152"/>
      <c r="E2" s="150"/>
      <c r="F2" s="61"/>
      <c r="G2" s="61"/>
      <c r="H2" s="61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  <c r="EU2" s="14"/>
      <c r="EV2" s="14"/>
      <c r="EW2" s="14"/>
      <c r="EX2" s="14"/>
    </row>
    <row r="3" spans="1:154" ht="15" customHeight="1">
      <c r="A3" s="149"/>
      <c r="B3" s="151"/>
      <c r="C3" s="153"/>
      <c r="D3" s="153"/>
      <c r="E3" s="151"/>
      <c r="F3" s="62"/>
      <c r="G3" s="62"/>
      <c r="H3" s="62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</row>
    <row r="4" spans="1:154" ht="15" customHeight="1">
      <c r="A4" s="148">
        <v>2</v>
      </c>
      <c r="B4" s="150"/>
      <c r="C4" s="152"/>
      <c r="D4" s="152"/>
      <c r="E4" s="150"/>
      <c r="F4" s="61"/>
      <c r="G4" s="61"/>
      <c r="H4" s="61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spans="1:154" ht="15" customHeight="1">
      <c r="A5" s="149"/>
      <c r="B5" s="151"/>
      <c r="C5" s="153"/>
      <c r="D5" s="153"/>
      <c r="E5" s="151"/>
      <c r="F5" s="62"/>
      <c r="G5" s="62"/>
      <c r="H5" s="62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</row>
    <row r="6" spans="1:154" ht="15" customHeight="1">
      <c r="A6" s="148">
        <v>3</v>
      </c>
      <c r="B6" s="150"/>
      <c r="C6" s="152"/>
      <c r="D6" s="152"/>
      <c r="E6" s="150"/>
      <c r="F6" s="61"/>
      <c r="G6" s="61"/>
      <c r="H6" s="61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</row>
    <row r="7" spans="1:154" ht="15" customHeight="1">
      <c r="A7" s="149"/>
      <c r="B7" s="151"/>
      <c r="C7" s="153"/>
      <c r="D7" s="153"/>
      <c r="E7" s="151"/>
      <c r="F7" s="62"/>
      <c r="G7" s="62"/>
      <c r="H7" s="62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</row>
    <row r="8" spans="1:154" ht="15" customHeight="1">
      <c r="A8" s="148">
        <v>4</v>
      </c>
      <c r="B8" s="150"/>
      <c r="C8" s="152"/>
      <c r="D8" s="152"/>
      <c r="E8" s="150"/>
      <c r="F8" s="61"/>
      <c r="G8" s="61"/>
      <c r="H8" s="61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</row>
    <row r="9" spans="1:154" ht="15" customHeight="1">
      <c r="A9" s="149"/>
      <c r="B9" s="151"/>
      <c r="C9" s="153"/>
      <c r="D9" s="153"/>
      <c r="E9" s="151"/>
      <c r="F9" s="62"/>
      <c r="G9" s="62"/>
      <c r="H9" s="62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</row>
    <row r="10" spans="1:154" ht="15" customHeight="1">
      <c r="A10" s="148">
        <v>5</v>
      </c>
      <c r="B10" s="150"/>
      <c r="C10" s="152"/>
      <c r="D10" s="152"/>
      <c r="E10" s="150"/>
      <c r="F10" s="61"/>
      <c r="G10" s="61"/>
      <c r="H10" s="61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</row>
    <row r="11" spans="1:154" ht="15" customHeight="1">
      <c r="A11" s="149"/>
      <c r="B11" s="151"/>
      <c r="C11" s="153"/>
      <c r="D11" s="153"/>
      <c r="E11" s="151"/>
      <c r="F11" s="62"/>
      <c r="G11" s="62"/>
      <c r="H11" s="62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4"/>
      <c r="EJ11" s="14"/>
      <c r="EK11" s="14"/>
      <c r="EL11" s="14"/>
      <c r="EM11" s="14"/>
      <c r="EN11" s="14"/>
      <c r="EO11" s="14"/>
      <c r="EP11" s="14"/>
      <c r="EQ11" s="14"/>
      <c r="ER11" s="14"/>
      <c r="ES11" s="14"/>
      <c r="ET11" s="14"/>
      <c r="EU11" s="14"/>
      <c r="EV11" s="14"/>
      <c r="EW11" s="14"/>
      <c r="EX11" s="14"/>
    </row>
    <row r="12" spans="1:154" ht="15" customHeight="1">
      <c r="A12" s="148">
        <v>6</v>
      </c>
      <c r="B12" s="150"/>
      <c r="C12" s="152"/>
      <c r="D12" s="152"/>
      <c r="E12" s="150"/>
      <c r="F12" s="61"/>
      <c r="G12" s="61"/>
      <c r="H12" s="61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</row>
    <row r="13" spans="1:154" ht="15" customHeight="1">
      <c r="A13" s="149"/>
      <c r="B13" s="151"/>
      <c r="C13" s="153"/>
      <c r="D13" s="153"/>
      <c r="E13" s="151"/>
      <c r="F13" s="62"/>
      <c r="G13" s="62"/>
      <c r="H13" s="62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</row>
    <row r="14" spans="1:154" ht="15" customHeight="1">
      <c r="A14" s="148">
        <v>7</v>
      </c>
      <c r="B14" s="150"/>
      <c r="C14" s="152"/>
      <c r="D14" s="152"/>
      <c r="E14" s="150"/>
      <c r="F14" s="61"/>
      <c r="G14" s="61"/>
      <c r="H14" s="61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</row>
    <row r="15" spans="1:154" ht="15" customHeight="1">
      <c r="A15" s="149"/>
      <c r="B15" s="151"/>
      <c r="C15" s="153"/>
      <c r="D15" s="153"/>
      <c r="E15" s="151"/>
      <c r="F15" s="62"/>
      <c r="G15" s="62"/>
      <c r="H15" s="62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</row>
    <row r="16" spans="1:154" ht="15" customHeight="1">
      <c r="A16" s="148">
        <v>8</v>
      </c>
      <c r="B16" s="150"/>
      <c r="C16" s="152"/>
      <c r="D16" s="152"/>
      <c r="E16" s="150"/>
      <c r="F16" s="61"/>
      <c r="G16" s="61"/>
      <c r="H16" s="61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</row>
    <row r="17" spans="1:154" ht="15" customHeight="1">
      <c r="A17" s="149"/>
      <c r="B17" s="151"/>
      <c r="C17" s="153"/>
      <c r="D17" s="153"/>
      <c r="E17" s="151"/>
      <c r="F17" s="62"/>
      <c r="G17" s="62"/>
      <c r="H17" s="62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</row>
    <row r="18" spans="1:154" ht="15" customHeight="1">
      <c r="A18" s="148">
        <v>9</v>
      </c>
      <c r="B18" s="150"/>
      <c r="C18" s="152"/>
      <c r="D18" s="152"/>
      <c r="E18" s="150"/>
      <c r="F18" s="61"/>
      <c r="G18" s="61"/>
      <c r="H18" s="61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</row>
    <row r="19" spans="1:154" ht="15" customHeight="1">
      <c r="A19" s="149"/>
      <c r="B19" s="151"/>
      <c r="C19" s="153"/>
      <c r="D19" s="153"/>
      <c r="E19" s="151"/>
      <c r="F19" s="62"/>
      <c r="G19" s="62"/>
      <c r="H19" s="62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</row>
    <row r="20" spans="1:154" ht="15" customHeight="1">
      <c r="A20" s="148">
        <v>10</v>
      </c>
      <c r="B20" s="150"/>
      <c r="C20" s="152"/>
      <c r="D20" s="152"/>
      <c r="E20" s="150"/>
      <c r="F20" s="61"/>
      <c r="G20" s="61"/>
      <c r="H20" s="61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</row>
    <row r="21" spans="1:154" ht="15" customHeight="1">
      <c r="A21" s="149"/>
      <c r="B21" s="151"/>
      <c r="C21" s="153"/>
      <c r="D21" s="153"/>
      <c r="E21" s="151"/>
      <c r="F21" s="62"/>
      <c r="G21" s="62"/>
      <c r="H21" s="62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</row>
  </sheetData>
  <mergeCells count="50">
    <mergeCell ref="A2:A3"/>
    <mergeCell ref="B2:B3"/>
    <mergeCell ref="C2:C3"/>
    <mergeCell ref="D2:D3"/>
    <mergeCell ref="E2:E3"/>
    <mergeCell ref="A8:A9"/>
    <mergeCell ref="B8:B9"/>
    <mergeCell ref="C8:C9"/>
    <mergeCell ref="D8:D9"/>
    <mergeCell ref="E8:E9"/>
    <mergeCell ref="A6:A7"/>
    <mergeCell ref="B6:B7"/>
    <mergeCell ref="C6:C7"/>
    <mergeCell ref="D6:D7"/>
    <mergeCell ref="E6:E7"/>
    <mergeCell ref="A12:A13"/>
    <mergeCell ref="B12:B13"/>
    <mergeCell ref="C12:C13"/>
    <mergeCell ref="D12:D13"/>
    <mergeCell ref="E12:E13"/>
    <mergeCell ref="A10:A11"/>
    <mergeCell ref="B10:B11"/>
    <mergeCell ref="C10:C11"/>
    <mergeCell ref="D10:D11"/>
    <mergeCell ref="E10:E11"/>
    <mergeCell ref="A16:A17"/>
    <mergeCell ref="B16:B17"/>
    <mergeCell ref="C16:C17"/>
    <mergeCell ref="D16:D17"/>
    <mergeCell ref="E16:E17"/>
    <mergeCell ref="A14:A15"/>
    <mergeCell ref="B14:B15"/>
    <mergeCell ref="C14:C15"/>
    <mergeCell ref="D14:D15"/>
    <mergeCell ref="E14:E15"/>
    <mergeCell ref="A20:A21"/>
    <mergeCell ref="B20:B21"/>
    <mergeCell ref="C20:C21"/>
    <mergeCell ref="D20:D21"/>
    <mergeCell ref="E20:E21"/>
    <mergeCell ref="A18:A19"/>
    <mergeCell ref="B18:B19"/>
    <mergeCell ref="C18:C19"/>
    <mergeCell ref="D18:D19"/>
    <mergeCell ref="E18:E19"/>
    <mergeCell ref="A4:A5"/>
    <mergeCell ref="B4:B5"/>
    <mergeCell ref="C4:C5"/>
    <mergeCell ref="D4:D5"/>
    <mergeCell ref="E4:E5"/>
  </mergeCells>
  <phoneticPr fontId="8"/>
  <printOptions horizontalCentered="1"/>
  <pageMargins left="0.27559055118110237" right="0.27559055118110237" top="0.59055118110236227" bottom="0.39370078740157483" header="0.39370078740157483" footer="0.19685039370078741"/>
  <pageSetup paperSize="9" scale="87" fitToHeight="0" orientation="landscape" r:id="rId1"/>
  <headerFooter alignWithMargins="0">
    <oddHeader>&amp;L&amp;"ＭＳ ゴシック,太字"&amp;14&amp;A</oddHeader>
    <oddFooter>&amp;L&amp;"ＭＳ Ｐゴシック,標準"&amp;9（ES0402-F01_単体テスト仕様書兼結果報告書 20161003 Ver.1.2）&amp;C&amp;"ＭＳ Ｐゴシック,標準"&amp;9&amp;P / &amp;N&amp;R&amp;"ＭＳ Ｐゴシック,標準"&amp;9Copyright© 2013 SCSK Corporation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C8343-8783-4E93-A198-4CC41DE80A27}">
  <sheetPr codeName="Sheet3">
    <pageSetUpPr fitToPage="1"/>
  </sheetPr>
  <dimension ref="A1:J3"/>
  <sheetViews>
    <sheetView zoomScaleNormal="100" workbookViewId="0"/>
  </sheetViews>
  <sheetFormatPr defaultColWidth="2.5" defaultRowHeight="15" customHeight="1"/>
  <cols>
    <col min="1" max="1" width="1.625" style="1" customWidth="1"/>
    <col min="2" max="2" width="4.625" style="7" customWidth="1"/>
    <col min="3" max="4" width="25.625" style="6" customWidth="1"/>
    <col min="5" max="5" width="50.625" style="5" customWidth="1"/>
    <col min="6" max="6" width="60.625" style="5" customWidth="1"/>
    <col min="7" max="8" width="20.625" style="3" customWidth="1"/>
    <col min="9" max="9" width="15.25" style="1" customWidth="1"/>
    <col min="10" max="10" width="19.375" style="1" bestFit="1" customWidth="1"/>
    <col min="11" max="16384" width="2.5" style="1"/>
  </cols>
  <sheetData>
    <row r="1" spans="1:10" ht="17.100000000000001" customHeight="1">
      <c r="A1" s="2"/>
      <c r="B1" s="63" t="s">
        <v>17</v>
      </c>
      <c r="C1" s="63" t="s">
        <v>25</v>
      </c>
      <c r="D1" s="63" t="s">
        <v>42</v>
      </c>
      <c r="E1" s="63" t="s">
        <v>50</v>
      </c>
      <c r="F1" s="63" t="s">
        <v>26</v>
      </c>
      <c r="G1" s="48" t="s">
        <v>27</v>
      </c>
      <c r="H1" s="48" t="s">
        <v>28</v>
      </c>
      <c r="I1" s="1" t="s">
        <v>51</v>
      </c>
      <c r="J1" s="3" t="s">
        <v>52</v>
      </c>
    </row>
    <row r="2" spans="1:10" ht="88.15" customHeight="1">
      <c r="A2" s="2"/>
      <c r="B2" s="16">
        <v>1</v>
      </c>
      <c r="C2" s="4" t="s">
        <v>101</v>
      </c>
      <c r="D2" s="4" t="s">
        <v>48</v>
      </c>
      <c r="E2" s="4" t="s">
        <v>49</v>
      </c>
      <c r="F2" s="4" t="s">
        <v>43</v>
      </c>
      <c r="G2" s="4"/>
      <c r="H2" s="4"/>
      <c r="I2" s="1" cm="1">
        <f t="array" aca="1" ref="I2" ca="1">INDIRECT("'テスト仕様(No." &amp; B2 &amp; ")'!$E$1")</f>
        <v>1</v>
      </c>
      <c r="J2" s="1">
        <f ca="1">SUM(I2:I3)</f>
        <v>2</v>
      </c>
    </row>
    <row r="3" spans="1:10" ht="88.15" customHeight="1">
      <c r="A3" s="2"/>
      <c r="B3" s="16">
        <v>2</v>
      </c>
      <c r="C3" s="4" t="s">
        <v>100</v>
      </c>
      <c r="D3" s="4" t="s">
        <v>48</v>
      </c>
      <c r="E3" s="4" t="s">
        <v>49</v>
      </c>
      <c r="F3" s="4" t="s">
        <v>43</v>
      </c>
      <c r="G3" s="4"/>
      <c r="H3" s="4"/>
      <c r="I3" s="1" cm="1">
        <f t="array" aca="1" ref="I3" ca="1">INDIRECT("'テスト仕様(No." &amp; B3 &amp; ")'!$E$1")</f>
        <v>1</v>
      </c>
    </row>
  </sheetData>
  <phoneticPr fontId="8"/>
  <printOptions horizontalCentered="1"/>
  <pageMargins left="0.27559055118110237" right="0.27559055118110237" top="0.59055118110236227" bottom="0.39370078740157483" header="0.39370078740157483" footer="0.19685039370078741"/>
  <pageSetup paperSize="9" scale="68" fitToHeight="0" orientation="landscape" r:id="rId1"/>
  <headerFooter alignWithMargins="0">
    <oddHeader>&amp;L&amp;"ＭＳ ゴシック,太字"&amp;18&amp;A</oddHeader>
    <oddFooter>&amp;L&amp;"ＭＳ Ｐゴシック,標準"&amp;9（ES0402-F01_単体テスト仕様書兼結果報告書 20161003 Ver.1.2）&amp;C&amp;"ＭＳ Ｐゴシック,標準"&amp;9&amp;P / &amp;N&amp;R&amp;"ＭＳ Ｐゴシック,標準"&amp;9Copyright© 2013 SCSK Corporation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41BF-605D-4BE8-AE10-5AB35332E14A}">
  <sheetPr codeName="Sheet7">
    <pageSetUpPr fitToPage="1"/>
  </sheetPr>
  <dimension ref="A1:Q49"/>
  <sheetViews>
    <sheetView zoomScaleNormal="100" workbookViewId="0"/>
  </sheetViews>
  <sheetFormatPr defaultColWidth="2.5" defaultRowHeight="15" customHeight="1"/>
  <cols>
    <col min="1" max="1" width="1.625" style="1" customWidth="1"/>
    <col min="2" max="2" width="14.875" style="18" customWidth="1"/>
    <col min="3" max="3" width="5.375" style="19" customWidth="1"/>
    <col min="4" max="4" width="45.625" style="20" customWidth="1"/>
    <col min="5" max="15" width="5.625" style="39" customWidth="1"/>
    <col min="16" max="16" width="2.5" style="1"/>
    <col min="17" max="17" width="2.5" style="81"/>
    <col min="18" max="16384" width="2.5" style="1"/>
  </cols>
  <sheetData>
    <row r="1" spans="1:15" ht="26.25" customHeight="1">
      <c r="B1" s="55" t="s">
        <v>29</v>
      </c>
      <c r="C1" s="56">
        <v>1</v>
      </c>
      <c r="D1" s="57" t="s">
        <v>30</v>
      </c>
      <c r="E1" s="25">
        <f>COUNTA(F1:CO1)</f>
        <v>1</v>
      </c>
      <c r="F1" s="25">
        <f t="shared" ref="F1" si="0">COLUMN()-5</f>
        <v>1</v>
      </c>
      <c r="G1" s="25"/>
      <c r="H1" s="25"/>
      <c r="I1" s="25"/>
      <c r="J1" s="25"/>
      <c r="K1" s="25"/>
      <c r="L1" s="25"/>
      <c r="M1" s="25"/>
      <c r="N1" s="25"/>
      <c r="O1" s="25"/>
    </row>
    <row r="2" spans="1:15" ht="20.100000000000001" customHeight="1">
      <c r="A2" s="2"/>
      <c r="B2" s="53"/>
      <c r="C2" s="21" t="s">
        <v>31</v>
      </c>
      <c r="D2" s="51" t="s">
        <v>32</v>
      </c>
      <c r="E2" s="52"/>
      <c r="F2" s="50"/>
      <c r="G2" s="50"/>
      <c r="H2" s="50"/>
      <c r="I2" s="50"/>
      <c r="J2" s="50"/>
      <c r="K2" s="50"/>
      <c r="L2" s="50"/>
      <c r="M2" s="50"/>
      <c r="N2" s="50"/>
      <c r="O2" s="50"/>
    </row>
    <row r="3" spans="1:15" ht="19.899999999999999" customHeight="1">
      <c r="A3" s="2"/>
      <c r="B3" s="41" t="s">
        <v>33</v>
      </c>
      <c r="C3" s="26">
        <v>1</v>
      </c>
      <c r="D3" s="65" t="s">
        <v>53</v>
      </c>
      <c r="E3" s="66"/>
      <c r="F3" s="67"/>
      <c r="G3" s="28"/>
      <c r="H3" s="28"/>
      <c r="I3" s="28"/>
      <c r="J3" s="28"/>
      <c r="K3" s="28"/>
      <c r="L3" s="28"/>
      <c r="M3" s="28"/>
      <c r="N3" s="28"/>
      <c r="O3" s="28"/>
    </row>
    <row r="4" spans="1:15" ht="20.100000000000001" customHeight="1">
      <c r="A4" s="2"/>
      <c r="B4" s="41"/>
      <c r="C4" s="26">
        <f t="shared" ref="C4:C16" si="1">C3+1</f>
        <v>2</v>
      </c>
      <c r="D4" s="68" t="s">
        <v>504</v>
      </c>
      <c r="E4" s="69"/>
      <c r="F4" s="70"/>
      <c r="G4" s="28"/>
      <c r="H4" s="28"/>
      <c r="I4" s="28"/>
      <c r="J4" s="28"/>
      <c r="K4" s="28"/>
      <c r="L4" s="28"/>
      <c r="M4" s="28"/>
      <c r="N4" s="28"/>
      <c r="O4" s="28"/>
    </row>
    <row r="5" spans="1:15" ht="20.100000000000001" customHeight="1">
      <c r="A5" s="2"/>
      <c r="B5" s="41"/>
      <c r="C5" s="26">
        <f t="shared" si="1"/>
        <v>3</v>
      </c>
      <c r="D5" s="83" t="s">
        <v>62</v>
      </c>
      <c r="E5" s="24"/>
      <c r="F5" s="28" t="s">
        <v>40</v>
      </c>
      <c r="G5" s="28"/>
      <c r="H5" s="28"/>
      <c r="I5" s="28"/>
      <c r="J5" s="28"/>
      <c r="K5" s="28"/>
      <c r="L5" s="28"/>
      <c r="M5" s="28"/>
      <c r="N5" s="28"/>
      <c r="O5" s="28"/>
    </row>
    <row r="6" spans="1:15" ht="20.100000000000001" customHeight="1">
      <c r="A6" s="2"/>
      <c r="B6" s="41"/>
      <c r="C6" s="26">
        <f t="shared" si="1"/>
        <v>4</v>
      </c>
      <c r="D6" s="27"/>
      <c r="E6" s="24"/>
      <c r="F6" s="28"/>
      <c r="G6" s="28"/>
      <c r="H6" s="28"/>
      <c r="I6" s="28"/>
      <c r="J6" s="28"/>
      <c r="K6" s="28"/>
      <c r="L6" s="28"/>
      <c r="M6" s="28"/>
      <c r="N6" s="28"/>
      <c r="O6" s="28"/>
    </row>
    <row r="7" spans="1:15" ht="20.100000000000001" customHeight="1">
      <c r="A7" s="2"/>
      <c r="B7" s="41"/>
      <c r="C7" s="26">
        <f t="shared" si="1"/>
        <v>5</v>
      </c>
      <c r="D7" s="68" t="s">
        <v>505</v>
      </c>
      <c r="E7" s="69"/>
      <c r="F7" s="70"/>
      <c r="G7" s="28"/>
      <c r="H7" s="28"/>
      <c r="I7" s="28"/>
      <c r="J7" s="28"/>
      <c r="K7" s="28"/>
      <c r="L7" s="28"/>
      <c r="M7" s="28"/>
      <c r="N7" s="28"/>
      <c r="O7" s="28"/>
    </row>
    <row r="8" spans="1:15" ht="20.100000000000001" customHeight="1">
      <c r="A8" s="2"/>
      <c r="B8" s="41"/>
      <c r="C8" s="26">
        <f t="shared" si="1"/>
        <v>6</v>
      </c>
      <c r="D8" s="83" t="s">
        <v>62</v>
      </c>
      <c r="E8" s="24"/>
      <c r="F8" s="28" t="s">
        <v>40</v>
      </c>
      <c r="G8" s="28"/>
      <c r="H8" s="28"/>
      <c r="I8" s="28"/>
      <c r="J8" s="28"/>
      <c r="K8" s="28"/>
      <c r="L8" s="28"/>
      <c r="M8" s="28"/>
      <c r="N8" s="28"/>
      <c r="O8" s="28"/>
    </row>
    <row r="9" spans="1:15" ht="20.100000000000001" customHeight="1">
      <c r="A9" s="2"/>
      <c r="B9" s="41"/>
      <c r="C9" s="26">
        <f t="shared" si="1"/>
        <v>7</v>
      </c>
      <c r="D9" s="27"/>
      <c r="E9" s="24"/>
      <c r="F9" s="28"/>
      <c r="G9" s="28"/>
      <c r="H9" s="28"/>
      <c r="I9" s="28"/>
      <c r="J9" s="28"/>
      <c r="K9" s="28"/>
      <c r="L9" s="28"/>
      <c r="M9" s="28"/>
      <c r="N9" s="28"/>
      <c r="O9" s="28"/>
    </row>
    <row r="10" spans="1:15" ht="20.100000000000001" customHeight="1">
      <c r="A10" s="2"/>
      <c r="B10" s="41"/>
      <c r="C10" s="26">
        <f t="shared" si="1"/>
        <v>8</v>
      </c>
      <c r="D10" s="68" t="s">
        <v>507</v>
      </c>
      <c r="E10" s="69"/>
      <c r="F10" s="70"/>
      <c r="G10" s="28"/>
      <c r="H10" s="28"/>
      <c r="I10" s="28"/>
      <c r="J10" s="28"/>
      <c r="K10" s="28"/>
      <c r="L10" s="28"/>
      <c r="M10" s="28"/>
      <c r="N10" s="28"/>
      <c r="O10" s="28"/>
    </row>
    <row r="11" spans="1:15" ht="20.100000000000001" customHeight="1">
      <c r="A11" s="2"/>
      <c r="B11" s="41"/>
      <c r="C11" s="26">
        <f t="shared" si="1"/>
        <v>9</v>
      </c>
      <c r="D11" s="83" t="s">
        <v>62</v>
      </c>
      <c r="E11" s="24"/>
      <c r="F11" s="28" t="s">
        <v>40</v>
      </c>
      <c r="G11" s="28"/>
      <c r="H11" s="28"/>
      <c r="I11" s="28"/>
      <c r="J11" s="28"/>
      <c r="K11" s="28"/>
      <c r="L11" s="28"/>
      <c r="M11" s="28"/>
      <c r="N11" s="28"/>
      <c r="O11" s="28"/>
    </row>
    <row r="12" spans="1:15" ht="20.100000000000001" customHeight="1">
      <c r="A12" s="2"/>
      <c r="B12" s="41"/>
      <c r="C12" s="26">
        <f t="shared" si="1"/>
        <v>10</v>
      </c>
      <c r="D12" s="27"/>
      <c r="E12" s="24"/>
      <c r="F12" s="28"/>
      <c r="G12" s="28"/>
      <c r="H12" s="28"/>
      <c r="I12" s="28"/>
      <c r="J12" s="28"/>
      <c r="K12" s="28"/>
      <c r="L12" s="28"/>
      <c r="M12" s="28"/>
      <c r="N12" s="28"/>
      <c r="O12" s="28"/>
    </row>
    <row r="13" spans="1:15" ht="20.100000000000001" customHeight="1">
      <c r="A13" s="2"/>
      <c r="B13" s="41"/>
      <c r="C13" s="26">
        <f t="shared" si="1"/>
        <v>11</v>
      </c>
      <c r="D13" s="83"/>
      <c r="E13" s="24"/>
      <c r="F13" s="28"/>
      <c r="G13" s="28"/>
      <c r="H13" s="28"/>
      <c r="I13" s="28"/>
      <c r="J13" s="28"/>
      <c r="K13" s="28"/>
      <c r="L13" s="28"/>
      <c r="M13" s="28"/>
      <c r="N13" s="28"/>
      <c r="O13" s="28"/>
    </row>
    <row r="14" spans="1:15" ht="20.100000000000001" customHeight="1">
      <c r="A14" s="2"/>
      <c r="B14" s="41"/>
      <c r="C14" s="26">
        <f t="shared" si="1"/>
        <v>12</v>
      </c>
      <c r="D14" s="27"/>
      <c r="E14" s="24"/>
      <c r="F14" s="28"/>
      <c r="G14" s="28"/>
      <c r="H14" s="28"/>
      <c r="I14" s="28"/>
      <c r="J14" s="28"/>
      <c r="K14" s="28"/>
      <c r="L14" s="28"/>
      <c r="M14" s="28"/>
      <c r="N14" s="28"/>
      <c r="O14" s="28"/>
    </row>
    <row r="15" spans="1:15" ht="20.100000000000001" customHeight="1">
      <c r="A15" s="2"/>
      <c r="B15" s="41"/>
      <c r="C15" s="26">
        <f t="shared" si="1"/>
        <v>13</v>
      </c>
      <c r="D15" s="27"/>
      <c r="E15" s="24"/>
      <c r="F15" s="28"/>
      <c r="G15" s="28"/>
      <c r="H15" s="28"/>
      <c r="I15" s="28"/>
      <c r="J15" s="28"/>
      <c r="K15" s="28"/>
      <c r="L15" s="28"/>
      <c r="M15" s="28"/>
      <c r="N15" s="28"/>
      <c r="O15" s="28"/>
    </row>
    <row r="16" spans="1:15" ht="20.100000000000001" customHeight="1">
      <c r="A16" s="2"/>
      <c r="B16" s="41"/>
      <c r="C16" s="26">
        <f t="shared" si="1"/>
        <v>14</v>
      </c>
      <c r="D16" s="27"/>
      <c r="E16" s="24"/>
      <c r="F16" s="28"/>
      <c r="G16" s="28"/>
      <c r="H16" s="28"/>
      <c r="I16" s="28"/>
      <c r="J16" s="28"/>
      <c r="K16" s="28"/>
      <c r="L16" s="28"/>
      <c r="M16" s="28"/>
      <c r="N16" s="28"/>
      <c r="O16" s="28"/>
    </row>
    <row r="17" spans="1:15" ht="9.9499999999999993" customHeight="1">
      <c r="A17" s="2"/>
      <c r="B17" s="42"/>
      <c r="C17" s="45"/>
      <c r="D17" s="22"/>
      <c r="E17" s="22"/>
      <c r="F17" s="46"/>
      <c r="G17" s="46"/>
      <c r="H17" s="46"/>
      <c r="I17" s="46"/>
      <c r="J17" s="46"/>
      <c r="K17" s="46"/>
      <c r="L17" s="46"/>
      <c r="M17" s="46"/>
      <c r="N17" s="46"/>
      <c r="O17" s="46"/>
    </row>
    <row r="18" spans="1:15" ht="20.100000000000001" customHeight="1">
      <c r="A18" s="2"/>
      <c r="B18" s="53"/>
      <c r="C18" s="21" t="s">
        <v>31</v>
      </c>
      <c r="D18" s="51" t="s">
        <v>34</v>
      </c>
      <c r="E18" s="52"/>
      <c r="F18" s="50"/>
      <c r="G18" s="50"/>
      <c r="H18" s="50"/>
      <c r="I18" s="50"/>
      <c r="J18" s="50"/>
      <c r="K18" s="50"/>
      <c r="L18" s="50"/>
      <c r="M18" s="50"/>
      <c r="N18" s="50"/>
      <c r="O18" s="50"/>
    </row>
    <row r="19" spans="1:15" ht="20.100000000000001" customHeight="1">
      <c r="A19" s="2"/>
      <c r="B19" s="41"/>
      <c r="C19" s="26">
        <v>1</v>
      </c>
      <c r="D19" s="91" t="s">
        <v>98</v>
      </c>
      <c r="E19" s="66"/>
      <c r="F19" s="67"/>
      <c r="G19" s="28"/>
      <c r="H19" s="28"/>
      <c r="I19" s="28"/>
      <c r="J19" s="28"/>
      <c r="K19" s="28"/>
      <c r="L19" s="28"/>
      <c r="M19" s="28"/>
      <c r="N19" s="28"/>
      <c r="O19" s="28"/>
    </row>
    <row r="20" spans="1:15" ht="12">
      <c r="A20" s="2"/>
      <c r="B20" s="41"/>
      <c r="C20" s="26">
        <f>C19+1</f>
        <v>2</v>
      </c>
      <c r="D20" s="29" t="s">
        <v>628</v>
      </c>
      <c r="E20" s="24"/>
      <c r="F20" s="28" t="s">
        <v>99</v>
      </c>
      <c r="G20" s="28"/>
      <c r="H20" s="28"/>
      <c r="I20" s="28"/>
      <c r="J20" s="28"/>
      <c r="K20" s="28"/>
      <c r="L20" s="28"/>
      <c r="M20" s="28"/>
      <c r="N20" s="28"/>
      <c r="O20" s="28"/>
    </row>
    <row r="21" spans="1:15" ht="12">
      <c r="A21" s="2"/>
      <c r="B21" s="41"/>
      <c r="C21" s="26">
        <f t="shared" ref="C21:C28" si="2">C20+1</f>
        <v>3</v>
      </c>
      <c r="D21" s="74"/>
      <c r="E21" s="24"/>
      <c r="F21" s="28"/>
      <c r="G21" s="28"/>
      <c r="H21" s="28"/>
      <c r="I21" s="28"/>
      <c r="J21" s="28"/>
      <c r="K21" s="28"/>
      <c r="L21" s="28"/>
      <c r="M21" s="28"/>
      <c r="N21" s="28"/>
      <c r="O21" s="28"/>
    </row>
    <row r="22" spans="1:15" ht="30" customHeight="1">
      <c r="A22" s="2"/>
      <c r="B22" s="41"/>
      <c r="C22" s="26">
        <f t="shared" si="2"/>
        <v>4</v>
      </c>
      <c r="D22" s="74"/>
      <c r="E22" s="24"/>
      <c r="F22" s="28"/>
      <c r="G22" s="28"/>
      <c r="H22" s="28"/>
      <c r="I22" s="28"/>
      <c r="J22" s="28"/>
      <c r="K22" s="28"/>
      <c r="L22" s="28"/>
      <c r="M22" s="28"/>
      <c r="N22" s="28"/>
      <c r="O22" s="28"/>
    </row>
    <row r="23" spans="1:15" ht="30" customHeight="1">
      <c r="A23" s="2"/>
      <c r="B23" s="41"/>
      <c r="C23" s="26">
        <f t="shared" si="2"/>
        <v>5</v>
      </c>
      <c r="D23" s="82"/>
      <c r="E23" s="24"/>
      <c r="F23" s="28"/>
      <c r="G23" s="28"/>
      <c r="H23" s="28"/>
      <c r="I23" s="28"/>
      <c r="J23" s="28"/>
      <c r="K23" s="28"/>
      <c r="L23" s="28"/>
      <c r="M23" s="28"/>
      <c r="N23" s="28"/>
      <c r="O23" s="28"/>
    </row>
    <row r="24" spans="1:15" ht="30" customHeight="1">
      <c r="A24" s="2"/>
      <c r="B24" s="41"/>
      <c r="C24" s="26">
        <f t="shared" si="2"/>
        <v>6</v>
      </c>
      <c r="D24" s="82"/>
      <c r="E24" s="24"/>
      <c r="F24" s="28"/>
      <c r="G24" s="28"/>
      <c r="H24" s="28"/>
      <c r="I24" s="28"/>
      <c r="J24" s="28"/>
      <c r="K24" s="28"/>
      <c r="L24" s="28"/>
      <c r="M24" s="28"/>
      <c r="N24" s="28"/>
      <c r="O24" s="28"/>
    </row>
    <row r="25" spans="1:15" ht="30" customHeight="1">
      <c r="A25" s="2"/>
      <c r="B25" s="41"/>
      <c r="C25" s="26">
        <f t="shared" si="2"/>
        <v>7</v>
      </c>
      <c r="D25" s="74"/>
      <c r="E25" s="24"/>
      <c r="F25" s="28"/>
      <c r="G25" s="28"/>
      <c r="H25" s="28"/>
      <c r="I25" s="28"/>
      <c r="J25" s="28"/>
      <c r="K25" s="28"/>
      <c r="L25" s="28"/>
      <c r="M25" s="28"/>
      <c r="N25" s="28"/>
      <c r="O25" s="28"/>
    </row>
    <row r="26" spans="1:15" ht="30" customHeight="1">
      <c r="A26" s="2"/>
      <c r="B26" s="41"/>
      <c r="C26" s="26">
        <f t="shared" si="2"/>
        <v>8</v>
      </c>
      <c r="D26" s="74"/>
      <c r="E26" s="24"/>
      <c r="F26" s="28"/>
      <c r="G26" s="28"/>
      <c r="H26" s="28"/>
      <c r="I26" s="28"/>
      <c r="J26" s="28"/>
      <c r="K26" s="28"/>
      <c r="L26" s="28"/>
      <c r="M26" s="28"/>
      <c r="N26" s="28"/>
      <c r="O26" s="28"/>
    </row>
    <row r="27" spans="1:15" ht="30" customHeight="1">
      <c r="A27" s="2"/>
      <c r="B27" s="41"/>
      <c r="C27" s="26">
        <f t="shared" si="2"/>
        <v>9</v>
      </c>
      <c r="D27" s="74"/>
      <c r="E27" s="24"/>
      <c r="F27" s="28"/>
      <c r="G27" s="28"/>
      <c r="H27" s="28"/>
      <c r="I27" s="28"/>
      <c r="J27" s="28"/>
      <c r="K27" s="28"/>
      <c r="L27" s="28"/>
      <c r="M27" s="28"/>
      <c r="N27" s="28"/>
      <c r="O27" s="28"/>
    </row>
    <row r="28" spans="1:15" ht="30" customHeight="1">
      <c r="A28" s="2"/>
      <c r="B28" s="41"/>
      <c r="C28" s="26">
        <f t="shared" si="2"/>
        <v>10</v>
      </c>
      <c r="D28" s="29"/>
      <c r="E28" s="24"/>
      <c r="F28" s="28"/>
      <c r="G28" s="28"/>
      <c r="H28" s="28"/>
      <c r="I28" s="28"/>
      <c r="J28" s="28"/>
      <c r="K28" s="28"/>
      <c r="L28" s="28"/>
      <c r="M28" s="28"/>
      <c r="N28" s="28"/>
      <c r="O28" s="28"/>
    </row>
    <row r="29" spans="1:15" ht="9.9499999999999993" customHeight="1">
      <c r="A29" s="2"/>
      <c r="B29" s="42"/>
      <c r="C29" s="45"/>
      <c r="D29" s="22"/>
      <c r="E29" s="22"/>
      <c r="F29" s="46"/>
      <c r="G29" s="46"/>
      <c r="H29" s="46"/>
      <c r="I29" s="46"/>
      <c r="J29" s="46"/>
      <c r="K29" s="46"/>
      <c r="L29" s="46"/>
      <c r="M29" s="46"/>
      <c r="N29" s="46"/>
      <c r="O29" s="46"/>
    </row>
    <row r="30" spans="1:15" ht="20.100000000000001" customHeight="1">
      <c r="A30" s="2"/>
      <c r="B30" s="53"/>
      <c r="C30" s="21" t="s">
        <v>31</v>
      </c>
      <c r="D30" s="54" t="s">
        <v>35</v>
      </c>
      <c r="E30" s="52"/>
      <c r="F30" s="50"/>
      <c r="G30" s="50"/>
      <c r="H30" s="50"/>
      <c r="I30" s="50"/>
      <c r="J30" s="50"/>
      <c r="K30" s="50"/>
      <c r="L30" s="50"/>
      <c r="M30" s="50"/>
      <c r="N30" s="50"/>
      <c r="O30" s="50"/>
    </row>
    <row r="31" spans="1:15" ht="15" customHeight="1">
      <c r="A31" s="2"/>
      <c r="B31" s="43" t="s">
        <v>27</v>
      </c>
      <c r="C31" s="30">
        <v>1</v>
      </c>
      <c r="D31" s="31"/>
      <c r="E31" s="32" t="s">
        <v>36</v>
      </c>
      <c r="F31" s="32"/>
      <c r="G31" s="32"/>
      <c r="H31" s="32"/>
      <c r="I31" s="32"/>
      <c r="J31" s="32"/>
      <c r="K31" s="32"/>
      <c r="L31" s="32"/>
      <c r="M31" s="32"/>
      <c r="N31" s="32"/>
      <c r="O31" s="32"/>
    </row>
    <row r="32" spans="1:15" ht="15" customHeight="1">
      <c r="A32" s="2"/>
      <c r="B32" s="43"/>
      <c r="C32" s="30"/>
      <c r="D32" s="33"/>
      <c r="E32" s="34" t="s">
        <v>37</v>
      </c>
      <c r="F32" s="34"/>
      <c r="G32" s="34"/>
      <c r="H32" s="34"/>
      <c r="I32" s="34"/>
      <c r="J32" s="34"/>
      <c r="K32" s="34"/>
      <c r="L32" s="34"/>
      <c r="M32" s="34"/>
      <c r="N32" s="34"/>
      <c r="O32" s="34"/>
    </row>
    <row r="33" spans="1:15" ht="15" customHeight="1">
      <c r="A33" s="2"/>
      <c r="B33" s="43"/>
      <c r="C33" s="35">
        <f>C31+1</f>
        <v>2</v>
      </c>
      <c r="D33" s="36"/>
      <c r="E33" s="32" t="s">
        <v>36</v>
      </c>
      <c r="F33" s="32"/>
      <c r="G33" s="32"/>
      <c r="H33" s="32"/>
      <c r="I33" s="32"/>
      <c r="J33" s="32"/>
      <c r="K33" s="32"/>
      <c r="L33" s="32"/>
      <c r="M33" s="32"/>
      <c r="N33" s="32"/>
      <c r="O33" s="32"/>
    </row>
    <row r="34" spans="1:15" ht="15" customHeight="1">
      <c r="A34" s="2"/>
      <c r="B34" s="43"/>
      <c r="C34" s="37"/>
      <c r="D34" s="38"/>
      <c r="E34" s="34" t="s">
        <v>37</v>
      </c>
      <c r="F34" s="34"/>
      <c r="G34" s="34"/>
      <c r="H34" s="34"/>
      <c r="I34" s="34"/>
      <c r="J34" s="34"/>
      <c r="K34" s="34"/>
      <c r="L34" s="34"/>
      <c r="M34" s="34"/>
      <c r="N34" s="34"/>
      <c r="O34" s="34"/>
    </row>
    <row r="35" spans="1:15" ht="15" customHeight="1">
      <c r="A35" s="2"/>
      <c r="B35" s="43"/>
      <c r="C35" s="35">
        <f>C33+1</f>
        <v>3</v>
      </c>
      <c r="D35" s="36"/>
      <c r="E35" s="32" t="s">
        <v>36</v>
      </c>
      <c r="F35" s="32"/>
      <c r="G35" s="32"/>
      <c r="H35" s="32"/>
      <c r="I35" s="32"/>
      <c r="J35" s="32"/>
      <c r="K35" s="32"/>
      <c r="L35" s="32"/>
      <c r="M35" s="32"/>
      <c r="N35" s="32"/>
      <c r="O35" s="32"/>
    </row>
    <row r="36" spans="1:15" ht="15" customHeight="1">
      <c r="A36" s="2"/>
      <c r="B36" s="43"/>
      <c r="C36" s="37"/>
      <c r="D36" s="38"/>
      <c r="E36" s="34" t="s">
        <v>37</v>
      </c>
      <c r="F36" s="34"/>
      <c r="G36" s="34"/>
      <c r="H36" s="34"/>
      <c r="I36" s="34"/>
      <c r="J36" s="34"/>
      <c r="K36" s="34"/>
      <c r="L36" s="34"/>
      <c r="M36" s="34"/>
      <c r="N36" s="34"/>
      <c r="O36" s="34"/>
    </row>
    <row r="37" spans="1:15" ht="15" customHeight="1">
      <c r="A37" s="2"/>
      <c r="B37" s="43"/>
      <c r="C37" s="35">
        <f>C35+1</f>
        <v>4</v>
      </c>
      <c r="D37" s="36"/>
      <c r="E37" s="32" t="s">
        <v>36</v>
      </c>
      <c r="F37" s="32"/>
      <c r="G37" s="32"/>
      <c r="H37" s="32"/>
      <c r="I37" s="32"/>
      <c r="J37" s="32"/>
      <c r="K37" s="32"/>
      <c r="L37" s="32"/>
      <c r="M37" s="32"/>
      <c r="N37" s="32"/>
      <c r="O37" s="32"/>
    </row>
    <row r="38" spans="1:15" ht="15" customHeight="1">
      <c r="A38" s="2"/>
      <c r="B38" s="43"/>
      <c r="C38" s="37"/>
      <c r="D38" s="38"/>
      <c r="E38" s="34" t="s">
        <v>37</v>
      </c>
      <c r="F38" s="34"/>
      <c r="G38" s="34"/>
      <c r="H38" s="34"/>
      <c r="I38" s="34"/>
      <c r="J38" s="34"/>
      <c r="K38" s="34"/>
      <c r="L38" s="34"/>
      <c r="M38" s="34"/>
      <c r="N38" s="34"/>
      <c r="O38" s="34"/>
    </row>
    <row r="39" spans="1:15" ht="15" customHeight="1">
      <c r="A39" s="2"/>
      <c r="B39" s="43"/>
      <c r="C39" s="35">
        <f>C37+1</f>
        <v>5</v>
      </c>
      <c r="D39" s="36"/>
      <c r="E39" s="32" t="s">
        <v>36</v>
      </c>
      <c r="F39" s="32"/>
      <c r="G39" s="32"/>
      <c r="H39" s="32"/>
      <c r="I39" s="32"/>
      <c r="J39" s="32"/>
      <c r="K39" s="32"/>
      <c r="L39" s="32"/>
      <c r="M39" s="32"/>
      <c r="N39" s="32"/>
      <c r="O39" s="32"/>
    </row>
    <row r="40" spans="1:15" ht="15" customHeight="1">
      <c r="A40" s="2"/>
      <c r="B40" s="43"/>
      <c r="C40" s="37"/>
      <c r="D40" s="38"/>
      <c r="E40" s="34" t="s">
        <v>37</v>
      </c>
      <c r="F40" s="34"/>
      <c r="G40" s="34"/>
      <c r="H40" s="34"/>
      <c r="I40" s="34"/>
      <c r="J40" s="34"/>
      <c r="K40" s="34"/>
      <c r="L40" s="34"/>
      <c r="M40" s="34"/>
      <c r="N40" s="34"/>
      <c r="O40" s="34"/>
    </row>
    <row r="41" spans="1:15" ht="15" customHeight="1">
      <c r="A41" s="2"/>
      <c r="B41" s="43"/>
      <c r="C41" s="35">
        <f>C39+1</f>
        <v>6</v>
      </c>
      <c r="D41" s="36"/>
      <c r="E41" s="32" t="s">
        <v>36</v>
      </c>
      <c r="F41" s="32"/>
      <c r="G41" s="32"/>
      <c r="H41" s="32"/>
      <c r="I41" s="32"/>
      <c r="J41" s="32"/>
      <c r="K41" s="32"/>
      <c r="L41" s="32"/>
      <c r="M41" s="32"/>
      <c r="N41" s="32"/>
      <c r="O41" s="32"/>
    </row>
    <row r="42" spans="1:15" ht="15" customHeight="1">
      <c r="A42" s="2"/>
      <c r="B42" s="43"/>
      <c r="C42" s="37"/>
      <c r="D42" s="38"/>
      <c r="E42" s="34" t="s">
        <v>37</v>
      </c>
      <c r="F42" s="34"/>
      <c r="G42" s="34"/>
      <c r="H42" s="34"/>
      <c r="I42" s="34"/>
      <c r="J42" s="34"/>
      <c r="K42" s="34"/>
      <c r="L42" s="34"/>
      <c r="M42" s="34"/>
      <c r="N42" s="34"/>
      <c r="O42" s="34"/>
    </row>
    <row r="43" spans="1:15" ht="15" customHeight="1">
      <c r="A43" s="2"/>
      <c r="B43" s="43"/>
      <c r="C43" s="35">
        <f>C41+1</f>
        <v>7</v>
      </c>
      <c r="D43" s="36"/>
      <c r="E43" s="32" t="s">
        <v>36</v>
      </c>
      <c r="F43" s="32"/>
      <c r="G43" s="32"/>
      <c r="H43" s="32"/>
      <c r="I43" s="32"/>
      <c r="J43" s="32"/>
      <c r="K43" s="32"/>
      <c r="L43" s="32"/>
      <c r="M43" s="32"/>
      <c r="N43" s="32"/>
      <c r="O43" s="32"/>
    </row>
    <row r="44" spans="1:15" ht="15" customHeight="1">
      <c r="A44" s="2"/>
      <c r="B44" s="43"/>
      <c r="C44" s="37"/>
      <c r="D44" s="38"/>
      <c r="E44" s="34" t="s">
        <v>37</v>
      </c>
      <c r="F44" s="34"/>
      <c r="G44" s="34"/>
      <c r="H44" s="34"/>
      <c r="I44" s="34"/>
      <c r="J44" s="34"/>
      <c r="K44" s="34"/>
      <c r="L44" s="34"/>
      <c r="M44" s="34"/>
      <c r="N44" s="34"/>
      <c r="O44" s="34"/>
    </row>
    <row r="45" spans="1:15" ht="15" customHeight="1">
      <c r="A45" s="2"/>
      <c r="B45" s="43"/>
      <c r="C45" s="35">
        <f>C43+1</f>
        <v>8</v>
      </c>
      <c r="D45" s="36"/>
      <c r="E45" s="32" t="s">
        <v>36</v>
      </c>
      <c r="F45" s="32"/>
      <c r="G45" s="32"/>
      <c r="H45" s="32"/>
      <c r="I45" s="32"/>
      <c r="J45" s="32"/>
      <c r="K45" s="32"/>
      <c r="L45" s="32"/>
      <c r="M45" s="32"/>
      <c r="N45" s="32"/>
      <c r="O45" s="32"/>
    </row>
    <row r="46" spans="1:15" ht="15" customHeight="1">
      <c r="A46" s="2"/>
      <c r="B46" s="43"/>
      <c r="C46" s="37"/>
      <c r="D46" s="38"/>
      <c r="E46" s="34" t="s">
        <v>37</v>
      </c>
      <c r="F46" s="34"/>
      <c r="G46" s="34"/>
      <c r="H46" s="34"/>
      <c r="I46" s="34"/>
      <c r="J46" s="34"/>
      <c r="K46" s="34"/>
      <c r="L46" s="34"/>
      <c r="M46" s="34"/>
      <c r="N46" s="34"/>
      <c r="O46" s="34"/>
    </row>
    <row r="47" spans="1:15" ht="9.9499999999999993" customHeight="1">
      <c r="A47" s="2"/>
      <c r="B47" s="42"/>
      <c r="C47" s="45"/>
      <c r="D47" s="22"/>
      <c r="E47" s="22"/>
      <c r="F47" s="46"/>
      <c r="G47" s="46"/>
      <c r="H47" s="46"/>
      <c r="I47" s="46"/>
      <c r="J47" s="46"/>
      <c r="K47" s="46"/>
      <c r="L47" s="46"/>
      <c r="M47" s="46"/>
      <c r="N47" s="46"/>
      <c r="O47" s="46"/>
    </row>
    <row r="48" spans="1:15" ht="20.100000000000001" customHeight="1">
      <c r="B48" s="44" t="s">
        <v>38</v>
      </c>
      <c r="C48" s="22"/>
      <c r="D48" s="22" t="s">
        <v>39</v>
      </c>
      <c r="E48" s="23"/>
      <c r="F48" s="28"/>
      <c r="G48" s="28"/>
      <c r="H48" s="28"/>
      <c r="I48" s="28"/>
      <c r="J48" s="28"/>
      <c r="K48" s="28"/>
      <c r="L48" s="28"/>
      <c r="M48" s="28"/>
      <c r="N48" s="28"/>
      <c r="O48" s="28"/>
    </row>
    <row r="49" spans="6:15" ht="237" customHeight="1">
      <c r="F49" s="73"/>
      <c r="G49" s="73"/>
      <c r="H49" s="73"/>
      <c r="I49" s="73"/>
      <c r="J49" s="73"/>
      <c r="K49" s="73"/>
      <c r="L49" s="73"/>
      <c r="M49" s="73"/>
      <c r="N49" s="73"/>
      <c r="O49" s="73"/>
    </row>
  </sheetData>
  <phoneticPr fontId="8"/>
  <printOptions horizontalCentered="1"/>
  <pageMargins left="0.27559055118110237" right="0.27559055118110237" top="0.59055118110236227" bottom="0.39370078740157483" header="0.39370078740157483" footer="0.19685039370078741"/>
  <pageSetup paperSize="9" scale="63" fitToHeight="0" orientation="landscape" r:id="rId1"/>
  <headerFooter alignWithMargins="0">
    <oddHeader>&amp;L&amp;"ＭＳ ゴシック,太字"&amp;18&amp;A</oddHeader>
    <oddFooter>&amp;L&amp;"ＭＳ Ｐゴシック,標準"&amp;9（ES0402-F01_単体テスト仕様書兼結果報告書 20161003 Ver.1.2）&amp;C&amp;"ＭＳ Ｐゴシック,標準"&amp;9&amp;P / &amp;N&amp;R&amp;"ＭＳ Ｐゴシック,標準"&amp;9Copyright© 2013 SCSK Corporation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27006-F2C9-4F75-8B89-CB86125AA011}">
  <dimension ref="A1:DQ124"/>
  <sheetViews>
    <sheetView zoomScaleNormal="100" workbookViewId="0">
      <pane xSplit="3" ySplit="1" topLeftCell="D2" activePane="bottomRight" state="frozen"/>
      <selection pane="topRight" activeCell="D1" sqref="D1"/>
      <selection pane="bottomLeft" activeCell="A4" sqref="A4"/>
      <selection pane="bottomRight" activeCell="D2" sqref="D2"/>
    </sheetView>
  </sheetViews>
  <sheetFormatPr defaultColWidth="8.875" defaultRowHeight="13.5"/>
  <cols>
    <col min="1" max="1" width="3.375" style="64" customWidth="1"/>
    <col min="2" max="2" width="40.875" style="64" customWidth="1"/>
    <col min="3" max="3" width="18.375" style="64" customWidth="1"/>
    <col min="4" max="4" width="4.5" style="64" customWidth="1"/>
    <col min="5" max="5" width="25.875" style="64" customWidth="1"/>
    <col min="6" max="7" width="24" style="64" customWidth="1"/>
    <col min="8" max="8" width="25.25" style="64" customWidth="1"/>
    <col min="9" max="9" width="26.375" style="64" bestFit="1" customWidth="1"/>
    <col min="10" max="10" width="26.75" style="64" bestFit="1" customWidth="1"/>
    <col min="11" max="11" width="25.25" style="64" customWidth="1"/>
    <col min="12" max="12" width="26.75" style="64" bestFit="1" customWidth="1"/>
    <col min="13" max="13" width="22.75" style="64" customWidth="1"/>
    <col min="14" max="14" width="19.125" style="64" bestFit="1" customWidth="1"/>
    <col min="15" max="15" width="19.875" style="64" bestFit="1" customWidth="1"/>
    <col min="16" max="16" width="20.625" style="64" customWidth="1"/>
    <col min="17" max="17" width="20.125" style="64" bestFit="1" customWidth="1"/>
    <col min="18" max="18" width="32.5" style="64" bestFit="1" customWidth="1"/>
    <col min="19" max="21" width="29.125" style="64" bestFit="1" customWidth="1"/>
    <col min="22" max="22" width="22.75" style="64" bestFit="1" customWidth="1"/>
    <col min="23" max="23" width="20.5" style="64" bestFit="1" customWidth="1"/>
    <col min="24" max="24" width="12.875" style="64" bestFit="1" customWidth="1"/>
    <col min="25" max="25" width="16.625" style="64" bestFit="1" customWidth="1"/>
    <col min="26" max="26" width="31.375" style="64" bestFit="1" customWidth="1"/>
    <col min="27" max="27" width="25.25" style="64" bestFit="1" customWidth="1"/>
    <col min="28" max="28" width="8.875" style="64"/>
    <col min="29" max="29" width="21.625" style="64" bestFit="1" customWidth="1"/>
    <col min="30" max="30" width="18.25" style="64" bestFit="1" customWidth="1"/>
    <col min="31" max="16384" width="8.875" style="64"/>
  </cols>
  <sheetData>
    <row r="1" spans="1:30">
      <c r="A1" s="75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</row>
    <row r="2" spans="1:30">
      <c r="A2" s="75"/>
      <c r="B2" s="75"/>
      <c r="C2" s="75"/>
      <c r="D2" s="75" t="s">
        <v>105</v>
      </c>
      <c r="E2" s="75"/>
      <c r="F2" s="75"/>
      <c r="G2" s="75"/>
      <c r="H2" s="75"/>
      <c r="I2" s="75"/>
      <c r="J2" s="78" t="s">
        <v>68</v>
      </c>
      <c r="K2" s="78" t="s">
        <v>68</v>
      </c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</row>
    <row r="3" spans="1:30">
      <c r="D3" s="64" t="s">
        <v>106</v>
      </c>
      <c r="J3" s="78"/>
      <c r="K3" s="78"/>
    </row>
    <row r="4" spans="1:30" ht="27">
      <c r="B4" s="154" t="s">
        <v>44</v>
      </c>
      <c r="C4" s="156" t="s">
        <v>72</v>
      </c>
      <c r="E4" s="92" t="s">
        <v>107</v>
      </c>
      <c r="F4" s="92" t="s">
        <v>108</v>
      </c>
      <c r="G4" s="92" t="s">
        <v>78</v>
      </c>
      <c r="H4" s="92" t="s">
        <v>79</v>
      </c>
      <c r="I4" s="92" t="s">
        <v>87</v>
      </c>
      <c r="J4" s="92" t="s">
        <v>109</v>
      </c>
      <c r="K4" s="92" t="s">
        <v>110</v>
      </c>
      <c r="L4" s="92" t="s">
        <v>111</v>
      </c>
      <c r="M4" s="92" t="s">
        <v>112</v>
      </c>
      <c r="N4" s="92" t="s">
        <v>113</v>
      </c>
      <c r="O4" s="92" t="s">
        <v>88</v>
      </c>
      <c r="P4" s="92" t="s">
        <v>89</v>
      </c>
      <c r="Q4" s="92" t="s">
        <v>90</v>
      </c>
      <c r="R4" s="92" t="s">
        <v>91</v>
      </c>
      <c r="S4" s="92" t="s">
        <v>114</v>
      </c>
      <c r="T4" s="92" t="s">
        <v>115</v>
      </c>
      <c r="U4" s="92" t="s">
        <v>116</v>
      </c>
      <c r="V4" s="92" t="s">
        <v>117</v>
      </c>
      <c r="W4" s="92" t="s">
        <v>118</v>
      </c>
      <c r="X4" s="92" t="s">
        <v>119</v>
      </c>
      <c r="Y4" s="92" t="s">
        <v>120</v>
      </c>
      <c r="Z4" s="92" t="s">
        <v>121</v>
      </c>
      <c r="AA4" s="92" t="s">
        <v>122</v>
      </c>
      <c r="AB4" s="92" t="s">
        <v>123</v>
      </c>
      <c r="AC4" s="92" t="s">
        <v>124</v>
      </c>
      <c r="AD4" s="92" t="s">
        <v>125</v>
      </c>
    </row>
    <row r="5" spans="1:30" ht="40.5">
      <c r="B5" s="155"/>
      <c r="C5" s="157"/>
      <c r="E5" s="92" t="s">
        <v>80</v>
      </c>
      <c r="F5" s="92" t="s">
        <v>81</v>
      </c>
      <c r="G5" s="92" t="s">
        <v>82</v>
      </c>
      <c r="H5" s="92" t="s">
        <v>83</v>
      </c>
      <c r="I5" s="92" t="s">
        <v>84</v>
      </c>
      <c r="J5" s="92" t="s">
        <v>126</v>
      </c>
      <c r="K5" s="92" t="s">
        <v>127</v>
      </c>
      <c r="L5" s="92" t="s">
        <v>128</v>
      </c>
      <c r="M5" s="92" t="s">
        <v>129</v>
      </c>
      <c r="N5" s="92" t="s">
        <v>130</v>
      </c>
      <c r="O5" s="92" t="s">
        <v>94</v>
      </c>
      <c r="P5" s="92" t="s">
        <v>95</v>
      </c>
      <c r="Q5" s="92" t="s">
        <v>96</v>
      </c>
      <c r="R5" s="92" t="s">
        <v>97</v>
      </c>
      <c r="S5" s="92" t="s">
        <v>131</v>
      </c>
      <c r="T5" s="92" t="s">
        <v>132</v>
      </c>
      <c r="U5" s="92" t="s">
        <v>133</v>
      </c>
      <c r="V5" s="92" t="s">
        <v>134</v>
      </c>
      <c r="W5" s="92" t="s">
        <v>135</v>
      </c>
      <c r="X5" s="92" t="s">
        <v>136</v>
      </c>
      <c r="Y5" s="92" t="s">
        <v>137</v>
      </c>
      <c r="Z5" s="92" t="s">
        <v>138</v>
      </c>
      <c r="AA5" s="92" t="s">
        <v>139</v>
      </c>
      <c r="AB5" s="92" t="s">
        <v>140</v>
      </c>
      <c r="AC5" s="92" t="s">
        <v>141</v>
      </c>
      <c r="AD5" s="92" t="s">
        <v>142</v>
      </c>
    </row>
    <row r="6" spans="1:30" ht="40.5">
      <c r="B6" s="171" t="s">
        <v>163</v>
      </c>
      <c r="C6" s="79"/>
      <c r="E6" s="101" t="s">
        <v>63</v>
      </c>
      <c r="F6" s="102">
        <v>0</v>
      </c>
      <c r="G6" s="158">
        <v>46055.425150462965</v>
      </c>
      <c r="H6" s="158">
        <v>46023.639039351852</v>
      </c>
      <c r="I6" s="101" t="s">
        <v>146</v>
      </c>
      <c r="J6" s="159">
        <v>46023</v>
      </c>
      <c r="K6" s="101" t="s">
        <v>154</v>
      </c>
      <c r="L6" s="101" t="s">
        <v>145</v>
      </c>
      <c r="M6" s="159">
        <v>46112</v>
      </c>
      <c r="N6" s="101"/>
      <c r="O6" s="158">
        <v>46055.470289351855</v>
      </c>
      <c r="P6" s="101" t="s">
        <v>146</v>
      </c>
      <c r="Q6" s="158">
        <v>46055.734178240738</v>
      </c>
      <c r="R6" s="101" t="s">
        <v>147</v>
      </c>
      <c r="S6" s="102">
        <v>25</v>
      </c>
      <c r="T6" s="102">
        <v>35</v>
      </c>
      <c r="U6" s="102">
        <v>45</v>
      </c>
      <c r="V6" s="101"/>
      <c r="W6" s="158">
        <v>46055.505011574074</v>
      </c>
      <c r="X6" s="101" t="s">
        <v>148</v>
      </c>
      <c r="Y6" s="160" t="s">
        <v>519</v>
      </c>
      <c r="Z6" s="101"/>
      <c r="AA6" s="101"/>
      <c r="AB6" s="101"/>
      <c r="AC6" s="101" t="s">
        <v>149</v>
      </c>
      <c r="AD6" s="101" t="s">
        <v>63</v>
      </c>
    </row>
    <row r="7" spans="1:30" ht="27">
      <c r="B7" s="171" t="s">
        <v>143</v>
      </c>
      <c r="C7" s="79"/>
      <c r="E7" s="101" t="s">
        <v>63</v>
      </c>
      <c r="F7" s="102">
        <v>0</v>
      </c>
      <c r="G7" s="158">
        <v>46055.425150462965</v>
      </c>
      <c r="H7" s="158">
        <v>46023.685567129629</v>
      </c>
      <c r="I7" s="101" t="s">
        <v>146</v>
      </c>
      <c r="J7" s="159">
        <v>46023</v>
      </c>
      <c r="K7" s="101" t="s">
        <v>64</v>
      </c>
      <c r="L7" s="101" t="s">
        <v>145</v>
      </c>
      <c r="M7" s="159">
        <v>46112</v>
      </c>
      <c r="N7" s="101"/>
      <c r="O7" s="158">
        <v>46055.470289351855</v>
      </c>
      <c r="P7" s="101" t="s">
        <v>146</v>
      </c>
      <c r="Q7" s="158">
        <v>46055.734178240738</v>
      </c>
      <c r="R7" s="101" t="s">
        <v>147</v>
      </c>
      <c r="S7" s="102">
        <v>16</v>
      </c>
      <c r="T7" s="102">
        <v>26</v>
      </c>
      <c r="U7" s="102">
        <v>36</v>
      </c>
      <c r="V7" s="101"/>
      <c r="W7" s="158">
        <v>46055.505011574074</v>
      </c>
      <c r="X7" s="101" t="s">
        <v>148</v>
      </c>
      <c r="Y7" s="160" t="s">
        <v>519</v>
      </c>
      <c r="Z7" s="101"/>
      <c r="AA7" s="101"/>
      <c r="AB7" s="101"/>
      <c r="AC7" s="101" t="s">
        <v>149</v>
      </c>
      <c r="AD7" s="101" t="s">
        <v>63</v>
      </c>
    </row>
    <row r="8" spans="1:30" ht="46.9" customHeight="1">
      <c r="B8" s="171" t="s">
        <v>150</v>
      </c>
      <c r="C8" s="79"/>
      <c r="E8" s="101" t="s">
        <v>63</v>
      </c>
      <c r="F8" s="102">
        <v>0</v>
      </c>
      <c r="G8" s="158">
        <v>46055.425150462965</v>
      </c>
      <c r="H8" s="158">
        <v>46023.685567129629</v>
      </c>
      <c r="I8" s="101" t="s">
        <v>146</v>
      </c>
      <c r="J8" s="159">
        <v>46023</v>
      </c>
      <c r="K8" s="101" t="s">
        <v>65</v>
      </c>
      <c r="L8" s="101" t="s">
        <v>145</v>
      </c>
      <c r="M8" s="159">
        <v>46113</v>
      </c>
      <c r="N8" s="101"/>
      <c r="O8" s="158">
        <v>46147.735324074078</v>
      </c>
      <c r="P8" s="101" t="s">
        <v>146</v>
      </c>
      <c r="Q8" s="158">
        <v>46147.999212962961</v>
      </c>
      <c r="R8" s="101" t="s">
        <v>147</v>
      </c>
      <c r="S8" s="102">
        <v>12</v>
      </c>
      <c r="T8" s="102">
        <v>22</v>
      </c>
      <c r="U8" s="102">
        <v>32</v>
      </c>
      <c r="V8" s="101"/>
      <c r="W8" s="158">
        <v>46147.770046296297</v>
      </c>
      <c r="X8" s="101" t="s">
        <v>148</v>
      </c>
      <c r="Y8" s="160" t="s">
        <v>519</v>
      </c>
      <c r="Z8" s="101"/>
      <c r="AA8" s="101"/>
      <c r="AB8" s="101"/>
      <c r="AC8" s="101" t="s">
        <v>152</v>
      </c>
      <c r="AD8" s="101" t="s">
        <v>65</v>
      </c>
    </row>
    <row r="9" spans="1:30" ht="15" hidden="1" customHeight="1">
      <c r="B9" s="172" t="s">
        <v>605</v>
      </c>
      <c r="C9" s="79"/>
      <c r="E9" s="101" t="s">
        <v>63</v>
      </c>
      <c r="F9" s="102">
        <v>0</v>
      </c>
      <c r="G9" s="158">
        <v>46055.425150462965</v>
      </c>
      <c r="H9" s="158">
        <v>46023.685567129629</v>
      </c>
      <c r="I9" s="101" t="s">
        <v>148</v>
      </c>
      <c r="J9" s="159">
        <v>46024</v>
      </c>
      <c r="K9" s="101" t="s">
        <v>65</v>
      </c>
      <c r="L9" s="101" t="s">
        <v>145</v>
      </c>
      <c r="M9" s="159">
        <v>46113</v>
      </c>
      <c r="N9" s="101"/>
      <c r="O9" s="158">
        <v>46055.470289351855</v>
      </c>
      <c r="P9" s="101" t="s">
        <v>146</v>
      </c>
      <c r="Q9" s="158">
        <v>46055.734178240738</v>
      </c>
      <c r="R9" s="101" t="s">
        <v>147</v>
      </c>
      <c r="S9" s="102">
        <v>18</v>
      </c>
      <c r="T9" s="102">
        <v>28</v>
      </c>
      <c r="U9" s="102">
        <v>38</v>
      </c>
      <c r="V9" s="101"/>
      <c r="W9" s="158">
        <v>46055.505011574074</v>
      </c>
      <c r="X9" s="101" t="s">
        <v>148</v>
      </c>
      <c r="Y9" s="160" t="s">
        <v>519</v>
      </c>
      <c r="Z9" s="101"/>
      <c r="AA9" s="101"/>
      <c r="AB9" s="101"/>
      <c r="AC9" s="101" t="s">
        <v>149</v>
      </c>
      <c r="AD9" s="101" t="s">
        <v>63</v>
      </c>
    </row>
    <row r="10" spans="1:30" hidden="1">
      <c r="B10" s="172" t="s">
        <v>605</v>
      </c>
      <c r="C10" s="79"/>
      <c r="E10" s="101" t="s">
        <v>63</v>
      </c>
      <c r="F10" s="102">
        <v>0</v>
      </c>
      <c r="G10" s="158">
        <v>46055.425150462965</v>
      </c>
      <c r="H10" s="158">
        <v>46023.685567129629</v>
      </c>
      <c r="I10" s="101" t="s">
        <v>148</v>
      </c>
      <c r="J10" s="159">
        <v>46024</v>
      </c>
      <c r="K10" s="101" t="s">
        <v>64</v>
      </c>
      <c r="L10" s="101" t="s">
        <v>145</v>
      </c>
      <c r="M10" s="159">
        <v>46113</v>
      </c>
      <c r="N10" s="101"/>
      <c r="O10" s="158">
        <v>46055.470289351855</v>
      </c>
      <c r="P10" s="101" t="s">
        <v>146</v>
      </c>
      <c r="Q10" s="158">
        <v>46055.734178240738</v>
      </c>
      <c r="R10" s="101" t="s">
        <v>147</v>
      </c>
      <c r="S10" s="102">
        <v>11</v>
      </c>
      <c r="T10" s="102">
        <v>21</v>
      </c>
      <c r="U10" s="102">
        <v>31</v>
      </c>
      <c r="V10" s="101"/>
      <c r="W10" s="158">
        <v>46055.505011574074</v>
      </c>
      <c r="X10" s="101" t="s">
        <v>148</v>
      </c>
      <c r="Y10" s="160" t="s">
        <v>519</v>
      </c>
      <c r="Z10" s="101"/>
      <c r="AA10" s="101"/>
      <c r="AB10" s="101"/>
      <c r="AC10" s="101" t="s">
        <v>149</v>
      </c>
      <c r="AD10" s="101" t="s">
        <v>63</v>
      </c>
    </row>
    <row r="11" spans="1:30" ht="27" hidden="1">
      <c r="B11" s="171" t="s">
        <v>153</v>
      </c>
      <c r="C11" s="79"/>
      <c r="E11" s="101" t="s">
        <v>63</v>
      </c>
      <c r="F11" s="102">
        <v>0</v>
      </c>
      <c r="G11" s="158">
        <v>46055.425150462965</v>
      </c>
      <c r="H11" s="158">
        <v>46084.773912037039</v>
      </c>
      <c r="I11" s="101" t="s">
        <v>146</v>
      </c>
      <c r="J11" s="159">
        <v>46022</v>
      </c>
      <c r="K11" s="101" t="s">
        <v>154</v>
      </c>
      <c r="L11" s="101" t="s">
        <v>145</v>
      </c>
      <c r="M11" s="159">
        <v>46112</v>
      </c>
      <c r="N11" s="101"/>
      <c r="O11" s="158">
        <v>46084.558634259258</v>
      </c>
      <c r="P11" s="101" t="s">
        <v>146</v>
      </c>
      <c r="Q11" s="158">
        <v>46084.822523148148</v>
      </c>
      <c r="R11" s="101" t="s">
        <v>147</v>
      </c>
      <c r="S11" s="102">
        <v>13</v>
      </c>
      <c r="T11" s="102">
        <v>23</v>
      </c>
      <c r="U11" s="102">
        <v>33</v>
      </c>
      <c r="V11" s="101"/>
      <c r="W11" s="158">
        <v>46084.593356481484</v>
      </c>
      <c r="X11" s="101" t="s">
        <v>148</v>
      </c>
      <c r="Y11" s="160" t="s">
        <v>519</v>
      </c>
      <c r="Z11" s="101"/>
      <c r="AA11" s="101"/>
      <c r="AB11" s="101"/>
      <c r="AC11" s="101" t="s">
        <v>155</v>
      </c>
      <c r="AD11" s="101" t="s">
        <v>63</v>
      </c>
    </row>
    <row r="12" spans="1:30" ht="27" hidden="1">
      <c r="B12" s="171" t="s">
        <v>156</v>
      </c>
      <c r="C12" s="79"/>
      <c r="E12" s="101" t="s">
        <v>63</v>
      </c>
      <c r="F12" s="102">
        <v>0</v>
      </c>
      <c r="G12" s="158">
        <v>46055.425150462965</v>
      </c>
      <c r="H12" s="158">
        <v>46116.862256944441</v>
      </c>
      <c r="I12" s="101" t="s">
        <v>146</v>
      </c>
      <c r="J12" s="159">
        <v>46082</v>
      </c>
      <c r="K12" s="101" t="s">
        <v>157</v>
      </c>
      <c r="L12" s="101" t="s">
        <v>145</v>
      </c>
      <c r="M12" s="159">
        <v>46112</v>
      </c>
      <c r="N12" s="101"/>
      <c r="O12" s="158">
        <v>46116.646979166668</v>
      </c>
      <c r="P12" s="101" t="s">
        <v>146</v>
      </c>
      <c r="Q12" s="158">
        <v>46116.910868055558</v>
      </c>
      <c r="R12" s="101" t="s">
        <v>147</v>
      </c>
      <c r="S12" s="102">
        <v>14</v>
      </c>
      <c r="T12" s="102">
        <v>24</v>
      </c>
      <c r="U12" s="102">
        <v>34</v>
      </c>
      <c r="V12" s="101" t="s">
        <v>158</v>
      </c>
      <c r="W12" s="158">
        <v>46116.681701388887</v>
      </c>
      <c r="X12" s="101" t="s">
        <v>148</v>
      </c>
      <c r="Y12" s="160" t="s">
        <v>519</v>
      </c>
      <c r="Z12" s="101"/>
      <c r="AA12" s="101"/>
      <c r="AB12" s="101"/>
      <c r="AC12" s="101" t="s">
        <v>159</v>
      </c>
      <c r="AD12" s="101" t="s">
        <v>63</v>
      </c>
    </row>
    <row r="13" spans="1:30" ht="40.5" hidden="1">
      <c r="B13" s="171" t="s">
        <v>174</v>
      </c>
      <c r="C13" s="79"/>
      <c r="E13" s="165" t="s">
        <v>65</v>
      </c>
      <c r="F13" s="102">
        <v>0</v>
      </c>
      <c r="G13" s="158">
        <v>46055.425150462965</v>
      </c>
      <c r="H13" s="158">
        <v>46023.685567129629</v>
      </c>
      <c r="I13" s="101" t="s">
        <v>146</v>
      </c>
      <c r="J13" s="159">
        <v>46052</v>
      </c>
      <c r="K13" s="101" t="s">
        <v>65</v>
      </c>
      <c r="L13" s="101" t="s">
        <v>145</v>
      </c>
      <c r="M13" s="159">
        <v>46112</v>
      </c>
      <c r="N13" s="101" t="s">
        <v>65</v>
      </c>
      <c r="O13" s="158">
        <v>46210.911319444444</v>
      </c>
      <c r="P13" s="101" t="s">
        <v>146</v>
      </c>
      <c r="Q13" s="158">
        <v>46210.13354166667</v>
      </c>
      <c r="R13" s="101" t="s">
        <v>147</v>
      </c>
      <c r="S13" s="102">
        <v>27</v>
      </c>
      <c r="T13" s="102">
        <v>37</v>
      </c>
      <c r="U13" s="102">
        <v>47</v>
      </c>
      <c r="V13" s="101" t="s">
        <v>161</v>
      </c>
      <c r="W13" s="158">
        <v>46210.94604166667</v>
      </c>
      <c r="X13" s="101" t="s">
        <v>148</v>
      </c>
      <c r="Y13" s="160" t="s">
        <v>519</v>
      </c>
      <c r="Z13" s="101"/>
      <c r="AA13" s="101"/>
      <c r="AB13" s="101"/>
      <c r="AC13" s="101" t="s">
        <v>162</v>
      </c>
      <c r="AD13" s="101" t="s">
        <v>63</v>
      </c>
    </row>
    <row r="14" spans="1:30" ht="27">
      <c r="B14" s="171" t="s">
        <v>166</v>
      </c>
      <c r="C14" s="79"/>
      <c r="E14" s="101" t="s">
        <v>63</v>
      </c>
      <c r="F14" s="102">
        <v>0</v>
      </c>
      <c r="G14" s="158">
        <v>46055.425150462965</v>
      </c>
      <c r="H14" s="158">
        <v>46055.685567129629</v>
      </c>
      <c r="I14" s="101" t="s">
        <v>146</v>
      </c>
      <c r="J14" s="159">
        <v>46025</v>
      </c>
      <c r="K14" s="101" t="s">
        <v>160</v>
      </c>
      <c r="L14" s="101" t="s">
        <v>145</v>
      </c>
      <c r="M14" s="159">
        <v>46112</v>
      </c>
      <c r="N14" s="101" t="s">
        <v>65</v>
      </c>
      <c r="O14" s="158">
        <v>46179.822974537034</v>
      </c>
      <c r="P14" s="101" t="s">
        <v>146</v>
      </c>
      <c r="Q14" s="158">
        <v>46179.04519675926</v>
      </c>
      <c r="R14" s="101" t="s">
        <v>147</v>
      </c>
      <c r="S14" s="102">
        <v>20</v>
      </c>
      <c r="T14" s="102">
        <v>30</v>
      </c>
      <c r="U14" s="102">
        <v>40</v>
      </c>
      <c r="V14" s="101"/>
      <c r="W14" s="158">
        <v>46179.85769675926</v>
      </c>
      <c r="X14" s="101" t="s">
        <v>148</v>
      </c>
      <c r="Y14" s="160" t="s">
        <v>519</v>
      </c>
      <c r="Z14" s="101"/>
      <c r="AA14" s="101"/>
      <c r="AB14" s="101"/>
      <c r="AC14" s="101" t="s">
        <v>168</v>
      </c>
      <c r="AD14" s="101" t="s">
        <v>63</v>
      </c>
    </row>
    <row r="15" spans="1:30" ht="27">
      <c r="B15" s="171" t="s">
        <v>171</v>
      </c>
      <c r="C15" s="79"/>
      <c r="E15" s="101" t="s">
        <v>63</v>
      </c>
      <c r="F15" s="102">
        <v>0</v>
      </c>
      <c r="G15" s="158">
        <v>46055.425150462965</v>
      </c>
      <c r="H15" s="158">
        <v>46055.685567129629</v>
      </c>
      <c r="I15" s="101" t="s">
        <v>146</v>
      </c>
      <c r="J15" s="159">
        <v>46026</v>
      </c>
      <c r="K15" s="101" t="s">
        <v>154</v>
      </c>
      <c r="L15" s="101" t="s">
        <v>145</v>
      </c>
      <c r="M15" s="159">
        <v>46112</v>
      </c>
      <c r="N15" s="101" t="s">
        <v>64</v>
      </c>
      <c r="O15" s="158">
        <v>46210.911319444444</v>
      </c>
      <c r="P15" s="101" t="s">
        <v>146</v>
      </c>
      <c r="Q15" s="158">
        <v>46210.13354166667</v>
      </c>
      <c r="R15" s="101" t="s">
        <v>147</v>
      </c>
      <c r="S15" s="102">
        <v>21</v>
      </c>
      <c r="T15" s="102">
        <v>31</v>
      </c>
      <c r="U15" s="102">
        <v>41</v>
      </c>
      <c r="V15" s="101" t="s">
        <v>161</v>
      </c>
      <c r="W15" s="158">
        <v>46210.94604166667</v>
      </c>
      <c r="X15" s="101" t="s">
        <v>148</v>
      </c>
      <c r="Y15" s="160" t="s">
        <v>519</v>
      </c>
      <c r="Z15" s="101"/>
      <c r="AA15" s="101"/>
      <c r="AB15" s="101"/>
      <c r="AC15" s="101" t="s">
        <v>162</v>
      </c>
      <c r="AD15" s="101" t="s">
        <v>63</v>
      </c>
    </row>
    <row r="16" spans="1:30" ht="27">
      <c r="B16" s="171" t="s">
        <v>169</v>
      </c>
      <c r="C16" s="79"/>
      <c r="E16" s="101" t="s">
        <v>63</v>
      </c>
      <c r="F16" s="102">
        <v>0</v>
      </c>
      <c r="G16" s="158">
        <v>46055.425150462965</v>
      </c>
      <c r="H16" s="158">
        <v>46023.685567129629</v>
      </c>
      <c r="I16" s="101" t="s">
        <v>148</v>
      </c>
      <c r="J16" s="159">
        <v>46023</v>
      </c>
      <c r="K16" s="101" t="s">
        <v>160</v>
      </c>
      <c r="L16" s="101" t="s">
        <v>145</v>
      </c>
      <c r="M16" s="159">
        <v>46113</v>
      </c>
      <c r="N16" s="101" t="s">
        <v>151</v>
      </c>
      <c r="O16" s="158">
        <v>46055.470289351855</v>
      </c>
      <c r="P16" s="101" t="s">
        <v>146</v>
      </c>
      <c r="Q16" s="158">
        <v>46055.734178240738</v>
      </c>
      <c r="R16" s="101" t="s">
        <v>147</v>
      </c>
      <c r="S16" s="102">
        <v>17</v>
      </c>
      <c r="T16" s="102">
        <v>27</v>
      </c>
      <c r="U16" s="102">
        <v>37</v>
      </c>
      <c r="V16" s="101"/>
      <c r="W16" s="158">
        <v>46055.505011574074</v>
      </c>
      <c r="X16" s="101" t="s">
        <v>148</v>
      </c>
      <c r="Y16" s="160" t="s">
        <v>519</v>
      </c>
      <c r="Z16" s="101"/>
      <c r="AA16" s="101"/>
      <c r="AB16" s="101"/>
      <c r="AC16" s="101" t="s">
        <v>149</v>
      </c>
      <c r="AD16" s="101" t="s">
        <v>63</v>
      </c>
    </row>
    <row r="17" spans="2:30" ht="27">
      <c r="B17" s="171" t="s">
        <v>173</v>
      </c>
      <c r="C17" s="79"/>
      <c r="E17" s="101" t="s">
        <v>63</v>
      </c>
      <c r="F17" s="102">
        <v>0</v>
      </c>
      <c r="G17" s="158">
        <v>46055.425150462965</v>
      </c>
      <c r="H17" s="158">
        <v>46055.685567129629</v>
      </c>
      <c r="I17" s="101" t="s">
        <v>146</v>
      </c>
      <c r="J17" s="159">
        <v>46027</v>
      </c>
      <c r="K17" s="101" t="s">
        <v>157</v>
      </c>
      <c r="L17" s="101" t="s">
        <v>145</v>
      </c>
      <c r="M17" s="159">
        <v>46112</v>
      </c>
      <c r="N17" s="101" t="s">
        <v>160</v>
      </c>
      <c r="O17" s="158">
        <v>46210.911319444444</v>
      </c>
      <c r="P17" s="101" t="s">
        <v>146</v>
      </c>
      <c r="Q17" s="158">
        <v>46210.13354166667</v>
      </c>
      <c r="R17" s="101" t="s">
        <v>147</v>
      </c>
      <c r="S17" s="102">
        <v>22</v>
      </c>
      <c r="T17" s="102">
        <v>32</v>
      </c>
      <c r="U17" s="102">
        <v>42</v>
      </c>
      <c r="V17" s="183" t="s">
        <v>629</v>
      </c>
      <c r="W17" s="158">
        <v>46210.94604166667</v>
      </c>
      <c r="X17" s="101" t="s">
        <v>148</v>
      </c>
      <c r="Y17" s="160" t="s">
        <v>519</v>
      </c>
      <c r="Z17" s="101"/>
      <c r="AA17" s="101"/>
      <c r="AB17" s="101"/>
      <c r="AC17" s="101" t="s">
        <v>162</v>
      </c>
      <c r="AD17" s="101" t="s">
        <v>63</v>
      </c>
    </row>
    <row r="18" spans="2:30" ht="27">
      <c r="B18" s="171" t="s">
        <v>170</v>
      </c>
      <c r="C18" s="79"/>
      <c r="E18" s="101" t="s">
        <v>63</v>
      </c>
      <c r="F18" s="102">
        <v>0</v>
      </c>
      <c r="G18" s="158">
        <v>46055.425150462965</v>
      </c>
      <c r="H18" s="158">
        <v>46055.685567129629</v>
      </c>
      <c r="I18" s="101" t="s">
        <v>146</v>
      </c>
      <c r="J18" s="159">
        <v>46029</v>
      </c>
      <c r="K18" s="101" t="s">
        <v>160</v>
      </c>
      <c r="L18" s="101" t="s">
        <v>145</v>
      </c>
      <c r="M18" s="159">
        <v>46112</v>
      </c>
      <c r="N18" s="101" t="s">
        <v>160</v>
      </c>
      <c r="O18" s="158">
        <v>46210.911319444444</v>
      </c>
      <c r="P18" s="101" t="s">
        <v>146</v>
      </c>
      <c r="Q18" s="158">
        <v>46210.13354166667</v>
      </c>
      <c r="R18" s="101" t="s">
        <v>147</v>
      </c>
      <c r="S18" s="102">
        <v>30</v>
      </c>
      <c r="T18" s="102">
        <v>40</v>
      </c>
      <c r="U18" s="102">
        <v>50</v>
      </c>
      <c r="V18" s="101" t="s">
        <v>161</v>
      </c>
      <c r="W18" s="158">
        <v>46210.94604166667</v>
      </c>
      <c r="X18" s="101" t="s">
        <v>148</v>
      </c>
      <c r="Y18" s="160" t="s">
        <v>519</v>
      </c>
      <c r="Z18" s="101"/>
      <c r="AA18" s="101"/>
      <c r="AB18" s="101"/>
      <c r="AC18" s="101" t="s">
        <v>162</v>
      </c>
      <c r="AD18" s="101" t="s">
        <v>63</v>
      </c>
    </row>
    <row r="19" spans="2:30" ht="40.5">
      <c r="B19" s="76" t="s">
        <v>164</v>
      </c>
      <c r="C19" s="79"/>
      <c r="E19" s="101" t="s">
        <v>63</v>
      </c>
      <c r="F19" s="102">
        <v>0</v>
      </c>
      <c r="G19" s="158">
        <v>46055.425150462965</v>
      </c>
      <c r="H19" s="158">
        <v>46055.685567129629</v>
      </c>
      <c r="I19" s="101" t="s">
        <v>146</v>
      </c>
      <c r="J19" s="159">
        <v>46030</v>
      </c>
      <c r="K19" s="101" t="s">
        <v>160</v>
      </c>
      <c r="L19" s="101" t="s">
        <v>145</v>
      </c>
      <c r="M19" s="159">
        <v>46112</v>
      </c>
      <c r="N19" s="101" t="s">
        <v>160</v>
      </c>
      <c r="O19" s="158">
        <v>46210.911319444444</v>
      </c>
      <c r="P19" s="101" t="s">
        <v>146</v>
      </c>
      <c r="Q19" s="158">
        <v>46210.13354166667</v>
      </c>
      <c r="R19" s="101" t="s">
        <v>147</v>
      </c>
      <c r="S19" s="102">
        <v>31</v>
      </c>
      <c r="T19" s="102">
        <v>41</v>
      </c>
      <c r="U19" s="102">
        <v>51</v>
      </c>
      <c r="V19" s="101" t="s">
        <v>161</v>
      </c>
      <c r="W19" s="158">
        <v>46210.94604166667</v>
      </c>
      <c r="X19" s="101" t="s">
        <v>148</v>
      </c>
      <c r="Y19" s="160" t="s">
        <v>519</v>
      </c>
      <c r="Z19" s="101"/>
      <c r="AA19" s="101"/>
      <c r="AB19" s="101"/>
      <c r="AC19" s="101" t="s">
        <v>162</v>
      </c>
      <c r="AD19" s="101" t="s">
        <v>63</v>
      </c>
    </row>
    <row r="20" spans="2:30">
      <c r="B20" s="170" t="s">
        <v>604</v>
      </c>
      <c r="C20" s="79"/>
      <c r="E20" s="101" t="s">
        <v>63</v>
      </c>
      <c r="F20" s="102">
        <v>0</v>
      </c>
      <c r="G20" s="158">
        <v>46055.425150462965</v>
      </c>
      <c r="H20" s="158">
        <v>46055.685567129629</v>
      </c>
      <c r="I20" s="101" t="s">
        <v>146</v>
      </c>
      <c r="J20" s="159">
        <v>46031</v>
      </c>
      <c r="K20" s="101" t="s">
        <v>160</v>
      </c>
      <c r="L20" s="101" t="s">
        <v>145</v>
      </c>
      <c r="M20" s="159">
        <v>46112</v>
      </c>
      <c r="N20" s="101" t="s">
        <v>160</v>
      </c>
      <c r="O20" s="158">
        <v>46210.911319444444</v>
      </c>
      <c r="P20" s="101" t="s">
        <v>146</v>
      </c>
      <c r="Q20" s="158">
        <v>46210.13354166667</v>
      </c>
      <c r="R20" s="101" t="s">
        <v>147</v>
      </c>
      <c r="S20" s="102">
        <v>33</v>
      </c>
      <c r="T20" s="102">
        <v>43</v>
      </c>
      <c r="U20" s="102">
        <v>53</v>
      </c>
      <c r="V20" s="101" t="s">
        <v>161</v>
      </c>
      <c r="W20" s="158">
        <v>46210.94604166667</v>
      </c>
      <c r="X20" s="101" t="s">
        <v>148</v>
      </c>
      <c r="Y20" s="160" t="s">
        <v>519</v>
      </c>
      <c r="Z20" s="101"/>
      <c r="AA20" s="101"/>
      <c r="AB20" s="101"/>
      <c r="AC20" s="101" t="s">
        <v>162</v>
      </c>
      <c r="AD20" s="101" t="s">
        <v>63</v>
      </c>
    </row>
    <row r="21" spans="2:30">
      <c r="B21" s="170" t="s">
        <v>604</v>
      </c>
      <c r="C21" s="79"/>
      <c r="E21" s="101" t="s">
        <v>63</v>
      </c>
      <c r="F21" s="102">
        <v>0</v>
      </c>
      <c r="G21" s="158">
        <v>46055.425150462965</v>
      </c>
      <c r="H21" s="158">
        <v>46055.685567129629</v>
      </c>
      <c r="I21" s="101" t="s">
        <v>146</v>
      </c>
      <c r="J21" s="159">
        <v>46032</v>
      </c>
      <c r="K21" s="101" t="s">
        <v>160</v>
      </c>
      <c r="L21" s="101" t="s">
        <v>145</v>
      </c>
      <c r="M21" s="159">
        <v>46112</v>
      </c>
      <c r="N21" s="101" t="s">
        <v>160</v>
      </c>
      <c r="O21" s="158">
        <v>46210.911319444444</v>
      </c>
      <c r="P21" s="101" t="s">
        <v>146</v>
      </c>
      <c r="Q21" s="158">
        <v>46210.13354166667</v>
      </c>
      <c r="R21" s="101" t="s">
        <v>147</v>
      </c>
      <c r="S21" s="102">
        <v>32</v>
      </c>
      <c r="T21" s="102">
        <v>42</v>
      </c>
      <c r="U21" s="102">
        <v>52</v>
      </c>
      <c r="V21" s="101" t="s">
        <v>161</v>
      </c>
      <c r="W21" s="158">
        <v>46210.94604166667</v>
      </c>
      <c r="X21" s="101" t="s">
        <v>148</v>
      </c>
      <c r="Y21" s="160" t="s">
        <v>519</v>
      </c>
      <c r="Z21" s="101"/>
      <c r="AA21" s="101"/>
      <c r="AB21" s="101"/>
      <c r="AC21" s="101" t="s">
        <v>162</v>
      </c>
      <c r="AD21" s="101" t="s">
        <v>63</v>
      </c>
    </row>
    <row r="22" spans="2:30">
      <c r="B22" s="170" t="s">
        <v>604</v>
      </c>
      <c r="C22" s="79"/>
      <c r="E22" s="101" t="s">
        <v>63</v>
      </c>
      <c r="F22" s="102">
        <v>0</v>
      </c>
      <c r="G22" s="158">
        <v>46055.425150462965</v>
      </c>
      <c r="H22" s="158">
        <v>46055.685567129629</v>
      </c>
      <c r="I22" s="101" t="s">
        <v>146</v>
      </c>
      <c r="J22" s="159">
        <v>46033</v>
      </c>
      <c r="K22" s="101" t="s">
        <v>160</v>
      </c>
      <c r="L22" s="101" t="s">
        <v>145</v>
      </c>
      <c r="M22" s="159">
        <v>46112</v>
      </c>
      <c r="N22" s="101" t="s">
        <v>160</v>
      </c>
      <c r="O22" s="158">
        <v>46210.911319444444</v>
      </c>
      <c r="P22" s="101" t="s">
        <v>146</v>
      </c>
      <c r="Q22" s="158">
        <v>46210.13354166667</v>
      </c>
      <c r="R22" s="101" t="s">
        <v>147</v>
      </c>
      <c r="S22" s="102">
        <v>34</v>
      </c>
      <c r="T22" s="102">
        <v>44</v>
      </c>
      <c r="U22" s="102">
        <v>54</v>
      </c>
      <c r="V22" s="101" t="s">
        <v>161</v>
      </c>
      <c r="W22" s="158">
        <v>46210.94604166667</v>
      </c>
      <c r="X22" s="101" t="s">
        <v>148</v>
      </c>
      <c r="Y22" s="160" t="s">
        <v>519</v>
      </c>
      <c r="Z22" s="101"/>
      <c r="AA22" s="101"/>
      <c r="AB22" s="101"/>
      <c r="AC22" s="101" t="s">
        <v>162</v>
      </c>
      <c r="AD22" s="101" t="s">
        <v>63</v>
      </c>
    </row>
    <row r="23" spans="2:30">
      <c r="B23" s="170" t="s">
        <v>604</v>
      </c>
      <c r="C23" s="79"/>
      <c r="E23" s="101" t="s">
        <v>63</v>
      </c>
      <c r="F23" s="102">
        <v>0</v>
      </c>
      <c r="G23" s="158">
        <v>46055.425150462965</v>
      </c>
      <c r="H23" s="158">
        <v>46055.685567129629</v>
      </c>
      <c r="I23" s="101" t="s">
        <v>146</v>
      </c>
      <c r="J23" s="159">
        <v>46034</v>
      </c>
      <c r="K23" s="101" t="s">
        <v>160</v>
      </c>
      <c r="L23" s="101" t="s">
        <v>145</v>
      </c>
      <c r="M23" s="159">
        <v>46112</v>
      </c>
      <c r="N23" s="101" t="s">
        <v>160</v>
      </c>
      <c r="O23" s="158">
        <v>46210.911319444444</v>
      </c>
      <c r="P23" s="101" t="s">
        <v>146</v>
      </c>
      <c r="Q23" s="158">
        <v>46210.13354166667</v>
      </c>
      <c r="R23" s="101" t="s">
        <v>147</v>
      </c>
      <c r="S23" s="102">
        <v>15</v>
      </c>
      <c r="T23" s="102">
        <v>25</v>
      </c>
      <c r="U23" s="102">
        <v>35</v>
      </c>
      <c r="V23" s="101" t="s">
        <v>161</v>
      </c>
      <c r="W23" s="158">
        <v>46210.94604166667</v>
      </c>
      <c r="X23" s="101" t="s">
        <v>148</v>
      </c>
      <c r="Y23" s="160" t="s">
        <v>519</v>
      </c>
      <c r="Z23" s="101"/>
      <c r="AA23" s="101"/>
      <c r="AB23" s="101"/>
      <c r="AC23" s="101" t="s">
        <v>162</v>
      </c>
      <c r="AD23" s="101" t="s">
        <v>63</v>
      </c>
    </row>
    <row r="24" spans="2:30">
      <c r="B24" s="170" t="s">
        <v>604</v>
      </c>
      <c r="C24" s="79"/>
      <c r="E24" s="101" t="s">
        <v>63</v>
      </c>
      <c r="F24" s="102">
        <v>0</v>
      </c>
      <c r="G24" s="158">
        <v>46055.425150462965</v>
      </c>
      <c r="H24" s="158">
        <v>46055.685567129629</v>
      </c>
      <c r="I24" s="101" t="s">
        <v>146</v>
      </c>
      <c r="J24" s="159">
        <v>46035</v>
      </c>
      <c r="K24" s="101" t="s">
        <v>157</v>
      </c>
      <c r="L24" s="101" t="s">
        <v>145</v>
      </c>
      <c r="M24" s="159">
        <v>46112</v>
      </c>
      <c r="N24" s="101" t="s">
        <v>160</v>
      </c>
      <c r="O24" s="158">
        <v>46210.911319444444</v>
      </c>
      <c r="P24" s="101" t="s">
        <v>146</v>
      </c>
      <c r="Q24" s="158">
        <v>46210.13354166667</v>
      </c>
      <c r="R24" s="101" t="s">
        <v>147</v>
      </c>
      <c r="S24" s="102">
        <v>26</v>
      </c>
      <c r="T24" s="102">
        <v>36</v>
      </c>
      <c r="U24" s="102">
        <v>46</v>
      </c>
      <c r="V24" s="101" t="s">
        <v>161</v>
      </c>
      <c r="W24" s="158">
        <v>46210.94604166667</v>
      </c>
      <c r="X24" s="101" t="s">
        <v>148</v>
      </c>
      <c r="Y24" s="160" t="s">
        <v>519</v>
      </c>
      <c r="Z24" s="101"/>
      <c r="AA24" s="101"/>
      <c r="AB24" s="101"/>
      <c r="AC24" s="101" t="s">
        <v>162</v>
      </c>
      <c r="AD24" s="101" t="s">
        <v>63</v>
      </c>
    </row>
    <row r="25" spans="2:30">
      <c r="B25" s="170" t="s">
        <v>604</v>
      </c>
      <c r="C25" s="79"/>
      <c r="E25" s="101" t="s">
        <v>63</v>
      </c>
      <c r="F25" s="102">
        <v>0</v>
      </c>
      <c r="G25" s="158">
        <v>46055.425150462965</v>
      </c>
      <c r="H25" s="158">
        <v>46055.685567129629</v>
      </c>
      <c r="I25" s="101" t="s">
        <v>146</v>
      </c>
      <c r="J25" s="159">
        <v>46053</v>
      </c>
      <c r="K25" s="101" t="s">
        <v>160</v>
      </c>
      <c r="L25" s="101" t="s">
        <v>145</v>
      </c>
      <c r="M25" s="159">
        <v>46112</v>
      </c>
      <c r="N25" s="101" t="s">
        <v>160</v>
      </c>
      <c r="O25" s="158">
        <v>46210.911319444444</v>
      </c>
      <c r="P25" s="101" t="s">
        <v>146</v>
      </c>
      <c r="Q25" s="158">
        <v>46210.13354166667</v>
      </c>
      <c r="R25" s="101" t="s">
        <v>147</v>
      </c>
      <c r="S25" s="102">
        <v>28</v>
      </c>
      <c r="T25" s="102">
        <v>38</v>
      </c>
      <c r="U25" s="102">
        <v>48</v>
      </c>
      <c r="V25" s="101" t="s">
        <v>161</v>
      </c>
      <c r="W25" s="158">
        <v>46210.94604166667</v>
      </c>
      <c r="X25" s="101" t="s">
        <v>148</v>
      </c>
      <c r="Y25" s="160" t="s">
        <v>519</v>
      </c>
      <c r="Z25" s="101"/>
      <c r="AA25" s="101"/>
      <c r="AB25" s="101"/>
      <c r="AC25" s="101" t="s">
        <v>162</v>
      </c>
      <c r="AD25" s="101" t="s">
        <v>63</v>
      </c>
    </row>
    <row r="26" spans="2:30">
      <c r="B26" s="170" t="s">
        <v>604</v>
      </c>
      <c r="C26" s="79"/>
      <c r="E26" s="101" t="s">
        <v>63</v>
      </c>
      <c r="F26" s="102">
        <v>0</v>
      </c>
      <c r="G26" s="158">
        <v>46055.425150462965</v>
      </c>
      <c r="H26" s="158">
        <v>46055.685567129629</v>
      </c>
      <c r="I26" s="101" t="s">
        <v>146</v>
      </c>
      <c r="J26" s="159">
        <v>46054</v>
      </c>
      <c r="K26" s="101" t="s">
        <v>160</v>
      </c>
      <c r="L26" s="101" t="s">
        <v>145</v>
      </c>
      <c r="M26" s="159">
        <v>46112</v>
      </c>
      <c r="N26" s="101" t="s">
        <v>160</v>
      </c>
      <c r="O26" s="158">
        <v>46210.911319444444</v>
      </c>
      <c r="P26" s="101" t="s">
        <v>146</v>
      </c>
      <c r="Q26" s="158">
        <v>46210.13354166667</v>
      </c>
      <c r="R26" s="101" t="s">
        <v>147</v>
      </c>
      <c r="S26" s="102">
        <v>35</v>
      </c>
      <c r="T26" s="102">
        <v>45</v>
      </c>
      <c r="U26" s="102">
        <v>55</v>
      </c>
      <c r="V26" s="101" t="s">
        <v>161</v>
      </c>
      <c r="W26" s="158">
        <v>46210.94604166667</v>
      </c>
      <c r="X26" s="101" t="s">
        <v>148</v>
      </c>
      <c r="Y26" s="160" t="s">
        <v>519</v>
      </c>
      <c r="Z26" s="101"/>
      <c r="AA26" s="101"/>
      <c r="AB26" s="101"/>
      <c r="AC26" s="101" t="s">
        <v>162</v>
      </c>
      <c r="AD26" s="101" t="s">
        <v>63</v>
      </c>
    </row>
    <row r="27" spans="2:30" ht="27">
      <c r="B27" s="171" t="s">
        <v>165</v>
      </c>
      <c r="C27" s="79"/>
      <c r="E27" s="101" t="s">
        <v>63</v>
      </c>
      <c r="F27" s="102">
        <v>0</v>
      </c>
      <c r="G27" s="158">
        <v>46055.425150462965</v>
      </c>
      <c r="H27" s="158">
        <v>46055.685567129629</v>
      </c>
      <c r="I27" s="101" t="s">
        <v>146</v>
      </c>
      <c r="J27" s="159">
        <v>46028</v>
      </c>
      <c r="K27" s="101" t="s">
        <v>160</v>
      </c>
      <c r="L27" s="101" t="s">
        <v>145</v>
      </c>
      <c r="M27" s="159">
        <v>46112</v>
      </c>
      <c r="N27" s="101" t="s">
        <v>154</v>
      </c>
      <c r="O27" s="158">
        <v>46210.911319444444</v>
      </c>
      <c r="P27" s="101" t="s">
        <v>146</v>
      </c>
      <c r="Q27" s="158">
        <v>46210.13354166667</v>
      </c>
      <c r="R27" s="101" t="s">
        <v>147</v>
      </c>
      <c r="S27" s="102">
        <v>24</v>
      </c>
      <c r="T27" s="102">
        <v>34</v>
      </c>
      <c r="U27" s="102">
        <v>44</v>
      </c>
      <c r="V27" s="101" t="s">
        <v>161</v>
      </c>
      <c r="W27" s="158">
        <v>46210.94604166667</v>
      </c>
      <c r="X27" s="101" t="s">
        <v>148</v>
      </c>
      <c r="Y27" s="160" t="s">
        <v>519</v>
      </c>
      <c r="Z27" s="101"/>
      <c r="AA27" s="101"/>
      <c r="AB27" s="101"/>
      <c r="AC27" s="101" t="s">
        <v>162</v>
      </c>
      <c r="AD27" s="101" t="s">
        <v>63</v>
      </c>
    </row>
    <row r="28" spans="2:30">
      <c r="B28" s="173" t="s">
        <v>604</v>
      </c>
      <c r="C28" s="79"/>
      <c r="E28" s="101" t="s">
        <v>63</v>
      </c>
      <c r="F28" s="102">
        <v>0</v>
      </c>
      <c r="G28" s="158">
        <v>46055.425150462965</v>
      </c>
      <c r="H28" s="158">
        <v>46055.685567129629</v>
      </c>
      <c r="I28" s="101" t="s">
        <v>146</v>
      </c>
      <c r="J28" s="159">
        <v>46068</v>
      </c>
      <c r="K28" s="101" t="s">
        <v>160</v>
      </c>
      <c r="L28" s="101" t="s">
        <v>145</v>
      </c>
      <c r="M28" s="159">
        <v>46112</v>
      </c>
      <c r="N28" s="101" t="s">
        <v>154</v>
      </c>
      <c r="O28" s="158">
        <v>46210.911319444444</v>
      </c>
      <c r="P28" s="101" t="s">
        <v>146</v>
      </c>
      <c r="Q28" s="158">
        <v>46210.13354166667</v>
      </c>
      <c r="R28" s="101" t="s">
        <v>147</v>
      </c>
      <c r="S28" s="102">
        <v>23</v>
      </c>
      <c r="T28" s="102">
        <v>33</v>
      </c>
      <c r="U28" s="102">
        <v>43</v>
      </c>
      <c r="V28" s="101" t="s">
        <v>161</v>
      </c>
      <c r="W28" s="158">
        <v>46210.94604166667</v>
      </c>
      <c r="X28" s="101" t="s">
        <v>148</v>
      </c>
      <c r="Y28" s="160" t="s">
        <v>519</v>
      </c>
      <c r="Z28" s="101"/>
      <c r="AA28" s="101"/>
      <c r="AB28" s="101"/>
      <c r="AC28" s="101" t="s">
        <v>162</v>
      </c>
      <c r="AD28" s="101" t="s">
        <v>63</v>
      </c>
    </row>
    <row r="29" spans="2:30">
      <c r="B29" s="173" t="s">
        <v>604</v>
      </c>
      <c r="C29" s="79"/>
      <c r="E29" s="101" t="s">
        <v>63</v>
      </c>
      <c r="F29" s="102">
        <v>0</v>
      </c>
      <c r="G29" s="158">
        <v>46055.425150462965</v>
      </c>
      <c r="H29" s="158">
        <v>46055.685567129629</v>
      </c>
      <c r="I29" s="101" t="s">
        <v>146</v>
      </c>
      <c r="J29" s="159">
        <v>46073</v>
      </c>
      <c r="K29" s="101" t="s">
        <v>160</v>
      </c>
      <c r="L29" s="101" t="s">
        <v>145</v>
      </c>
      <c r="M29" s="159">
        <v>46112</v>
      </c>
      <c r="N29" s="101" t="s">
        <v>154</v>
      </c>
      <c r="O29" s="158">
        <v>46210.911319444444</v>
      </c>
      <c r="P29" s="101" t="s">
        <v>146</v>
      </c>
      <c r="Q29" s="158">
        <v>46210.13354166667</v>
      </c>
      <c r="R29" s="101" t="s">
        <v>147</v>
      </c>
      <c r="S29" s="102">
        <v>23</v>
      </c>
      <c r="T29" s="102">
        <v>33</v>
      </c>
      <c r="U29" s="102">
        <v>43</v>
      </c>
      <c r="V29" s="101" t="s">
        <v>161</v>
      </c>
      <c r="W29" s="158">
        <v>46210.94604166667</v>
      </c>
      <c r="X29" s="101" t="s">
        <v>148</v>
      </c>
      <c r="Y29" s="160" t="s">
        <v>519</v>
      </c>
      <c r="Z29" s="101"/>
      <c r="AA29" s="101"/>
      <c r="AB29" s="101"/>
      <c r="AC29" s="101" t="s">
        <v>162</v>
      </c>
      <c r="AD29" s="101" t="s">
        <v>63</v>
      </c>
    </row>
    <row r="30" spans="2:30" ht="40.5">
      <c r="B30" s="171" t="s">
        <v>175</v>
      </c>
      <c r="C30" s="79"/>
      <c r="E30" s="101" t="s">
        <v>63</v>
      </c>
      <c r="F30" s="102">
        <v>0</v>
      </c>
      <c r="G30" s="158">
        <v>46055.425150462965</v>
      </c>
      <c r="H30" s="158">
        <v>46055.685567129629</v>
      </c>
      <c r="I30" s="101" t="s">
        <v>146</v>
      </c>
      <c r="J30" s="159">
        <v>46081</v>
      </c>
      <c r="K30" s="101" t="s">
        <v>160</v>
      </c>
      <c r="L30" s="101" t="s">
        <v>145</v>
      </c>
      <c r="M30" s="159">
        <v>46112</v>
      </c>
      <c r="N30" s="101" t="s">
        <v>154</v>
      </c>
      <c r="O30" s="158">
        <v>46210.911319444444</v>
      </c>
      <c r="P30" s="101" t="s">
        <v>146</v>
      </c>
      <c r="Q30" s="158">
        <v>46210.13354166667</v>
      </c>
      <c r="R30" s="101" t="s">
        <v>147</v>
      </c>
      <c r="S30" s="102">
        <v>23</v>
      </c>
      <c r="T30" s="102">
        <v>33</v>
      </c>
      <c r="U30" s="102">
        <v>43</v>
      </c>
      <c r="V30" s="101" t="s">
        <v>161</v>
      </c>
      <c r="W30" s="158">
        <v>46210.94604166667</v>
      </c>
      <c r="X30" s="101" t="s">
        <v>148</v>
      </c>
      <c r="Y30" s="160" t="s">
        <v>519</v>
      </c>
      <c r="Z30" s="101"/>
      <c r="AA30" s="101"/>
      <c r="AB30" s="101"/>
      <c r="AC30" s="101" t="s">
        <v>162</v>
      </c>
      <c r="AD30" s="101" t="s">
        <v>63</v>
      </c>
    </row>
    <row r="31" spans="2:30" ht="27" hidden="1">
      <c r="B31" s="171" t="s">
        <v>156</v>
      </c>
      <c r="C31" s="79"/>
      <c r="E31" s="101" t="s">
        <v>63</v>
      </c>
      <c r="F31" s="102">
        <v>0</v>
      </c>
      <c r="G31" s="158">
        <v>46055.425150462965</v>
      </c>
      <c r="H31" s="158">
        <v>46055.685567129629</v>
      </c>
      <c r="I31" s="101" t="s">
        <v>146</v>
      </c>
      <c r="J31" s="159">
        <v>46082</v>
      </c>
      <c r="K31" s="101" t="s">
        <v>154</v>
      </c>
      <c r="L31" s="101" t="s">
        <v>145</v>
      </c>
      <c r="M31" s="159">
        <v>46112</v>
      </c>
      <c r="N31" s="101" t="s">
        <v>154</v>
      </c>
      <c r="O31" s="158">
        <v>46210.911319444444</v>
      </c>
      <c r="P31" s="101" t="s">
        <v>146</v>
      </c>
      <c r="Q31" s="158">
        <v>46210.13354166667</v>
      </c>
      <c r="R31" s="101" t="s">
        <v>147</v>
      </c>
      <c r="S31" s="102">
        <v>19</v>
      </c>
      <c r="T31" s="102">
        <v>29</v>
      </c>
      <c r="U31" s="102">
        <v>39</v>
      </c>
      <c r="V31" s="101" t="s">
        <v>161</v>
      </c>
      <c r="W31" s="158">
        <v>46210.94604166667</v>
      </c>
      <c r="X31" s="101" t="s">
        <v>148</v>
      </c>
      <c r="Y31" s="160" t="s">
        <v>519</v>
      </c>
      <c r="Z31" s="101"/>
      <c r="AA31" s="101"/>
      <c r="AB31" s="101"/>
      <c r="AC31" s="101" t="s">
        <v>162</v>
      </c>
      <c r="AD31" s="101" t="s">
        <v>63</v>
      </c>
    </row>
    <row r="32" spans="2:30" ht="27" hidden="1">
      <c r="B32" s="171" t="s">
        <v>156</v>
      </c>
      <c r="C32" s="79"/>
      <c r="E32" s="101" t="s">
        <v>63</v>
      </c>
      <c r="F32" s="102">
        <v>0</v>
      </c>
      <c r="G32" s="158">
        <v>46055.425150462965</v>
      </c>
      <c r="H32" s="158">
        <v>46055.685567129629</v>
      </c>
      <c r="I32" s="101" t="s">
        <v>146</v>
      </c>
      <c r="J32" s="159">
        <v>46096</v>
      </c>
      <c r="K32" s="101" t="s">
        <v>160</v>
      </c>
      <c r="L32" s="101" t="s">
        <v>145</v>
      </c>
      <c r="M32" s="159">
        <v>46112</v>
      </c>
      <c r="N32" s="101" t="s">
        <v>154</v>
      </c>
      <c r="O32" s="158">
        <v>46210.911319444444</v>
      </c>
      <c r="P32" s="101" t="s">
        <v>146</v>
      </c>
      <c r="Q32" s="158">
        <v>46210.13354166667</v>
      </c>
      <c r="R32" s="101" t="s">
        <v>147</v>
      </c>
      <c r="S32" s="102">
        <v>36</v>
      </c>
      <c r="T32" s="102">
        <v>46</v>
      </c>
      <c r="U32" s="102">
        <v>56</v>
      </c>
      <c r="V32" s="101" t="s">
        <v>161</v>
      </c>
      <c r="W32" s="158">
        <v>46210.94604166667</v>
      </c>
      <c r="X32" s="101" t="s">
        <v>148</v>
      </c>
      <c r="Y32" s="160" t="s">
        <v>519</v>
      </c>
      <c r="Z32" s="101"/>
      <c r="AA32" s="101"/>
      <c r="AB32" s="101"/>
      <c r="AC32" s="101" t="s">
        <v>162</v>
      </c>
      <c r="AD32" s="101" t="s">
        <v>63</v>
      </c>
    </row>
    <row r="33" spans="2:30" ht="27" hidden="1">
      <c r="B33" s="171" t="s">
        <v>156</v>
      </c>
      <c r="C33" s="79"/>
      <c r="E33" s="101" t="s">
        <v>63</v>
      </c>
      <c r="F33" s="102">
        <v>0</v>
      </c>
      <c r="G33" s="158">
        <v>46055.425150462965</v>
      </c>
      <c r="H33" s="158">
        <v>46055.685567129629</v>
      </c>
      <c r="I33" s="101" t="s">
        <v>146</v>
      </c>
      <c r="J33" s="159">
        <v>46109</v>
      </c>
      <c r="K33" s="101" t="s">
        <v>154</v>
      </c>
      <c r="L33" s="101" t="s">
        <v>145</v>
      </c>
      <c r="M33" s="159">
        <v>46112</v>
      </c>
      <c r="N33" s="101" t="s">
        <v>154</v>
      </c>
      <c r="O33" s="158">
        <v>46210.911319444444</v>
      </c>
      <c r="P33" s="101" t="s">
        <v>146</v>
      </c>
      <c r="Q33" s="158">
        <v>46210.13354166667</v>
      </c>
      <c r="R33" s="101" t="s">
        <v>147</v>
      </c>
      <c r="S33" s="102">
        <v>29</v>
      </c>
      <c r="T33" s="102">
        <v>39</v>
      </c>
      <c r="U33" s="102">
        <v>49</v>
      </c>
      <c r="V33" s="101" t="s">
        <v>161</v>
      </c>
      <c r="W33" s="158">
        <v>46210.94604166667</v>
      </c>
      <c r="X33" s="101" t="s">
        <v>148</v>
      </c>
      <c r="Y33" s="160" t="s">
        <v>519</v>
      </c>
      <c r="Z33" s="101"/>
      <c r="AA33" s="101"/>
      <c r="AB33" s="101"/>
      <c r="AC33" s="101" t="s">
        <v>162</v>
      </c>
      <c r="AD33" s="101" t="s">
        <v>63</v>
      </c>
    </row>
    <row r="38" spans="2:30">
      <c r="D38" s="75" t="s">
        <v>177</v>
      </c>
      <c r="L38" s="78" t="s">
        <v>68</v>
      </c>
      <c r="M38" s="78" t="s">
        <v>68</v>
      </c>
      <c r="N38" s="78" t="s">
        <v>68</v>
      </c>
      <c r="O38" s="78" t="s">
        <v>68</v>
      </c>
      <c r="P38" s="78" t="s">
        <v>68</v>
      </c>
      <c r="Q38" s="78" t="s">
        <v>68</v>
      </c>
      <c r="R38" s="78" t="s">
        <v>68</v>
      </c>
      <c r="S38" s="78" t="s">
        <v>68</v>
      </c>
      <c r="T38" s="78" t="s">
        <v>68</v>
      </c>
    </row>
    <row r="39" spans="2:30">
      <c r="D39" s="64" t="s">
        <v>178</v>
      </c>
      <c r="L39" s="78"/>
      <c r="M39" s="78"/>
      <c r="N39" s="78"/>
      <c r="O39" s="78"/>
      <c r="P39" s="78"/>
      <c r="Q39" s="78"/>
      <c r="R39" s="78"/>
      <c r="S39" s="78"/>
      <c r="T39" s="78"/>
    </row>
    <row r="40" spans="2:30" ht="13.5" customHeight="1">
      <c r="B40" s="154" t="s">
        <v>44</v>
      </c>
      <c r="C40" s="156" t="s">
        <v>72</v>
      </c>
      <c r="E40" s="92" t="s">
        <v>76</v>
      </c>
      <c r="F40" s="92" t="s">
        <v>77</v>
      </c>
      <c r="G40" s="92" t="s">
        <v>78</v>
      </c>
      <c r="H40" s="92" t="s">
        <v>79</v>
      </c>
      <c r="I40" s="92" t="s">
        <v>87</v>
      </c>
      <c r="J40" s="92" t="s">
        <v>88</v>
      </c>
      <c r="K40" s="92" t="s">
        <v>89</v>
      </c>
      <c r="L40" s="92" t="s">
        <v>109</v>
      </c>
      <c r="M40" s="92" t="s">
        <v>179</v>
      </c>
      <c r="N40" s="92" t="s">
        <v>180</v>
      </c>
      <c r="O40" s="92" t="s">
        <v>181</v>
      </c>
      <c r="P40" s="92" t="s">
        <v>182</v>
      </c>
      <c r="Q40" s="95" t="s">
        <v>183</v>
      </c>
      <c r="R40" s="95" t="s">
        <v>184</v>
      </c>
      <c r="S40" s="95" t="s">
        <v>185</v>
      </c>
      <c r="T40" s="95" t="s">
        <v>186</v>
      </c>
      <c r="U40" s="95" t="s">
        <v>187</v>
      </c>
      <c r="V40" s="95" t="s">
        <v>188</v>
      </c>
      <c r="W40" s="95" t="s">
        <v>189</v>
      </c>
      <c r="X40" s="95" t="s">
        <v>190</v>
      </c>
    </row>
    <row r="41" spans="2:30" ht="13.5" customHeight="1">
      <c r="B41" s="155"/>
      <c r="C41" s="157"/>
      <c r="E41" s="92" t="s">
        <v>80</v>
      </c>
      <c r="F41" s="92" t="s">
        <v>81</v>
      </c>
      <c r="G41" s="92" t="s">
        <v>82</v>
      </c>
      <c r="H41" s="92" t="s">
        <v>83</v>
      </c>
      <c r="I41" s="92" t="s">
        <v>84</v>
      </c>
      <c r="J41" s="92" t="s">
        <v>94</v>
      </c>
      <c r="K41" s="92" t="s">
        <v>95</v>
      </c>
      <c r="L41" s="92" t="s">
        <v>126</v>
      </c>
      <c r="M41" s="92" t="s">
        <v>191</v>
      </c>
      <c r="N41" s="92" t="s">
        <v>192</v>
      </c>
      <c r="O41" s="92" t="s">
        <v>127</v>
      </c>
      <c r="P41" s="92" t="s">
        <v>193</v>
      </c>
      <c r="Q41" s="95" t="s">
        <v>194</v>
      </c>
      <c r="R41" s="95" t="s">
        <v>195</v>
      </c>
      <c r="S41" s="95" t="s">
        <v>196</v>
      </c>
      <c r="T41" s="95" t="s">
        <v>197</v>
      </c>
      <c r="U41" s="95" t="s">
        <v>198</v>
      </c>
      <c r="V41" s="95" t="s">
        <v>199</v>
      </c>
      <c r="W41" s="95" t="s">
        <v>200</v>
      </c>
      <c r="X41" s="95" t="s">
        <v>201</v>
      </c>
    </row>
    <row r="42" spans="2:30" ht="19.899999999999999" customHeight="1">
      <c r="B42" s="97" t="s">
        <v>212</v>
      </c>
      <c r="C42" s="79"/>
      <c r="E42" s="101" t="s">
        <v>63</v>
      </c>
      <c r="F42" s="102">
        <v>0</v>
      </c>
      <c r="G42" s="158">
        <v>46055.425150462965</v>
      </c>
      <c r="H42" s="161">
        <v>46055.685567129629</v>
      </c>
      <c r="I42" s="101" t="s">
        <v>146</v>
      </c>
      <c r="J42" s="158">
        <v>46055.470289351855</v>
      </c>
      <c r="K42" s="101" t="s">
        <v>146</v>
      </c>
      <c r="L42" s="159">
        <v>46022</v>
      </c>
      <c r="M42" s="101" t="s">
        <v>213</v>
      </c>
      <c r="N42" s="101" t="s">
        <v>203</v>
      </c>
      <c r="O42" s="101" t="s">
        <v>154</v>
      </c>
      <c r="P42" s="101" t="s">
        <v>64</v>
      </c>
      <c r="Q42" s="101" t="s">
        <v>211</v>
      </c>
      <c r="R42" s="101" t="s">
        <v>205</v>
      </c>
      <c r="S42" s="101" t="s">
        <v>206</v>
      </c>
      <c r="T42" s="101" t="s">
        <v>207</v>
      </c>
      <c r="U42" s="102">
        <v>12500</v>
      </c>
      <c r="V42" s="101" t="s">
        <v>208</v>
      </c>
      <c r="W42" s="101" t="s">
        <v>209</v>
      </c>
      <c r="X42" s="101" t="s">
        <v>210</v>
      </c>
    </row>
    <row r="43" spans="2:30">
      <c r="B43" s="170" t="s">
        <v>604</v>
      </c>
      <c r="C43" s="79"/>
      <c r="E43" s="101" t="s">
        <v>63</v>
      </c>
      <c r="F43" s="102">
        <v>0</v>
      </c>
      <c r="G43" s="158">
        <v>46055.425150462965</v>
      </c>
      <c r="H43" s="161">
        <v>46116.862256944441</v>
      </c>
      <c r="I43" s="101" t="s">
        <v>146</v>
      </c>
      <c r="J43" s="158">
        <v>46116.646979166668</v>
      </c>
      <c r="K43" s="101" t="s">
        <v>146</v>
      </c>
      <c r="L43" s="159">
        <v>46023</v>
      </c>
      <c r="M43" s="101" t="s">
        <v>218</v>
      </c>
      <c r="N43" s="101" t="s">
        <v>219</v>
      </c>
      <c r="O43" s="101" t="s">
        <v>65</v>
      </c>
      <c r="P43" s="101" t="s">
        <v>65</v>
      </c>
      <c r="Q43" s="101" t="s">
        <v>220</v>
      </c>
      <c r="R43" s="101" t="s">
        <v>205</v>
      </c>
      <c r="S43" s="101" t="s">
        <v>206</v>
      </c>
      <c r="T43" s="101" t="s">
        <v>207</v>
      </c>
      <c r="U43" s="102">
        <v>15500</v>
      </c>
      <c r="V43" s="101" t="s">
        <v>208</v>
      </c>
      <c r="W43" s="101" t="s">
        <v>209</v>
      </c>
      <c r="X43" s="101" t="s">
        <v>210</v>
      </c>
    </row>
    <row r="44" spans="2:30">
      <c r="B44" s="170" t="s">
        <v>604</v>
      </c>
      <c r="C44" s="79"/>
      <c r="E44" s="101" t="s">
        <v>63</v>
      </c>
      <c r="F44" s="102">
        <v>0</v>
      </c>
      <c r="G44" s="158">
        <v>46055.425150462965</v>
      </c>
      <c r="H44" s="161">
        <v>46147.950601851851</v>
      </c>
      <c r="I44" s="101" t="s">
        <v>146</v>
      </c>
      <c r="J44" s="158">
        <v>46147.735324074078</v>
      </c>
      <c r="K44" s="101" t="s">
        <v>146</v>
      </c>
      <c r="L44" s="159">
        <v>46023</v>
      </c>
      <c r="M44" s="101" t="s">
        <v>221</v>
      </c>
      <c r="N44" s="101" t="s">
        <v>222</v>
      </c>
      <c r="O44" s="101" t="s">
        <v>65</v>
      </c>
      <c r="P44" s="101" t="s">
        <v>65</v>
      </c>
      <c r="Q44" s="101" t="s">
        <v>223</v>
      </c>
      <c r="R44" s="101" t="s">
        <v>205</v>
      </c>
      <c r="S44" s="101" t="s">
        <v>206</v>
      </c>
      <c r="T44" s="101" t="s">
        <v>207</v>
      </c>
      <c r="U44" s="102">
        <v>16500</v>
      </c>
      <c r="V44" s="101" t="s">
        <v>208</v>
      </c>
      <c r="W44" s="101" t="s">
        <v>209</v>
      </c>
      <c r="X44" s="101" t="s">
        <v>210</v>
      </c>
    </row>
    <row r="45" spans="2:30">
      <c r="B45" s="170" t="s">
        <v>604</v>
      </c>
      <c r="C45" s="79"/>
      <c r="E45" s="101" t="s">
        <v>63</v>
      </c>
      <c r="F45" s="102">
        <v>0</v>
      </c>
      <c r="G45" s="158">
        <v>46055.425150462965</v>
      </c>
      <c r="H45" s="161">
        <v>46055.685567129629</v>
      </c>
      <c r="I45" s="101" t="s">
        <v>146</v>
      </c>
      <c r="J45" s="158">
        <v>46055.470289351855</v>
      </c>
      <c r="K45" s="101" t="s">
        <v>146</v>
      </c>
      <c r="L45" s="159">
        <v>46023</v>
      </c>
      <c r="M45" s="101" t="s">
        <v>215</v>
      </c>
      <c r="N45" s="101" t="s">
        <v>203</v>
      </c>
      <c r="O45" s="101" t="s">
        <v>65</v>
      </c>
      <c r="P45" s="101" t="s">
        <v>64</v>
      </c>
      <c r="Q45" s="101" t="s">
        <v>211</v>
      </c>
      <c r="R45" s="101" t="s">
        <v>205</v>
      </c>
      <c r="S45" s="101" t="s">
        <v>206</v>
      </c>
      <c r="T45" s="101" t="s">
        <v>207</v>
      </c>
      <c r="U45" s="102">
        <v>12500</v>
      </c>
      <c r="V45" s="101" t="s">
        <v>208</v>
      </c>
      <c r="W45" s="101" t="s">
        <v>209</v>
      </c>
      <c r="X45" s="101" t="s">
        <v>210</v>
      </c>
    </row>
    <row r="46" spans="2:30">
      <c r="B46" s="170" t="s">
        <v>604</v>
      </c>
      <c r="C46" s="79"/>
      <c r="E46" s="101" t="s">
        <v>63</v>
      </c>
      <c r="F46" s="102">
        <v>0</v>
      </c>
      <c r="G46" s="158">
        <v>46055.425150462965</v>
      </c>
      <c r="H46" s="161">
        <v>46210.084930555553</v>
      </c>
      <c r="I46" s="101" t="s">
        <v>146</v>
      </c>
      <c r="J46" s="158">
        <v>46210.911319444444</v>
      </c>
      <c r="K46" s="101" t="s">
        <v>146</v>
      </c>
      <c r="L46" s="159">
        <v>46023</v>
      </c>
      <c r="M46" s="101" t="s">
        <v>213</v>
      </c>
      <c r="N46" s="101" t="s">
        <v>232</v>
      </c>
      <c r="O46" s="101" t="s">
        <v>154</v>
      </c>
      <c r="P46" s="101" t="s">
        <v>64</v>
      </c>
      <c r="Q46" s="101" t="s">
        <v>234</v>
      </c>
      <c r="R46" s="101" t="s">
        <v>205</v>
      </c>
      <c r="S46" s="101" t="s">
        <v>206</v>
      </c>
      <c r="T46" s="101" t="s">
        <v>207</v>
      </c>
      <c r="U46" s="102">
        <v>22500</v>
      </c>
      <c r="V46" s="101" t="s">
        <v>208</v>
      </c>
      <c r="W46" s="101" t="s">
        <v>209</v>
      </c>
      <c r="X46" s="101" t="s">
        <v>210</v>
      </c>
    </row>
    <row r="47" spans="2:30">
      <c r="B47" s="97" t="s">
        <v>212</v>
      </c>
      <c r="C47" s="79"/>
      <c r="E47" s="101" t="s">
        <v>63</v>
      </c>
      <c r="F47" s="102">
        <v>0</v>
      </c>
      <c r="G47" s="158">
        <v>46055.425150462965</v>
      </c>
      <c r="H47" s="161">
        <v>46055.685567129629</v>
      </c>
      <c r="I47" s="101" t="s">
        <v>146</v>
      </c>
      <c r="J47" s="158">
        <v>46055.470289351855</v>
      </c>
      <c r="K47" s="101" t="s">
        <v>146</v>
      </c>
      <c r="L47" s="159">
        <v>46024</v>
      </c>
      <c r="M47" s="101" t="s">
        <v>202</v>
      </c>
      <c r="N47" s="101" t="s">
        <v>203</v>
      </c>
      <c r="O47" s="101" t="s">
        <v>64</v>
      </c>
      <c r="P47" s="101" t="s">
        <v>65</v>
      </c>
      <c r="Q47" s="101" t="s">
        <v>204</v>
      </c>
      <c r="R47" s="101" t="s">
        <v>205</v>
      </c>
      <c r="S47" s="101" t="s">
        <v>206</v>
      </c>
      <c r="T47" s="101" t="s">
        <v>207</v>
      </c>
      <c r="U47" s="102">
        <v>11500</v>
      </c>
      <c r="V47" s="101" t="s">
        <v>208</v>
      </c>
      <c r="W47" s="101" t="s">
        <v>209</v>
      </c>
      <c r="X47" s="101" t="s">
        <v>210</v>
      </c>
    </row>
    <row r="48" spans="2:30">
      <c r="B48" s="97" t="s">
        <v>212</v>
      </c>
      <c r="C48" s="79"/>
      <c r="E48" s="101" t="s">
        <v>63</v>
      </c>
      <c r="F48" s="102">
        <v>0</v>
      </c>
      <c r="G48" s="158">
        <v>46055.425150462965</v>
      </c>
      <c r="H48" s="161">
        <v>46179.038252314815</v>
      </c>
      <c r="I48" s="101" t="s">
        <v>146</v>
      </c>
      <c r="J48" s="158">
        <v>46179.822974537034</v>
      </c>
      <c r="K48" s="101" t="s">
        <v>146</v>
      </c>
      <c r="L48" s="159">
        <v>46024</v>
      </c>
      <c r="M48" s="101" t="s">
        <v>213</v>
      </c>
      <c r="N48" s="101" t="s">
        <v>224</v>
      </c>
      <c r="O48" s="101" t="s">
        <v>65</v>
      </c>
      <c r="P48" s="101" t="s">
        <v>65</v>
      </c>
      <c r="Q48" s="101" t="s">
        <v>225</v>
      </c>
      <c r="R48" s="101" t="s">
        <v>205</v>
      </c>
      <c r="S48" s="101" t="s">
        <v>206</v>
      </c>
      <c r="T48" s="101" t="s">
        <v>207</v>
      </c>
      <c r="U48" s="102">
        <v>17500</v>
      </c>
      <c r="V48" s="101" t="s">
        <v>208</v>
      </c>
      <c r="W48" s="101" t="s">
        <v>209</v>
      </c>
      <c r="X48" s="101" t="s">
        <v>210</v>
      </c>
    </row>
    <row r="49" spans="2:24">
      <c r="B49" s="170" t="s">
        <v>604</v>
      </c>
      <c r="C49" s="79"/>
      <c r="E49" s="101" t="s">
        <v>63</v>
      </c>
      <c r="F49" s="102">
        <v>0</v>
      </c>
      <c r="G49" s="158">
        <v>46055.425150462965</v>
      </c>
      <c r="H49" s="161">
        <v>46210.084930555553</v>
      </c>
      <c r="I49" s="101" t="s">
        <v>146</v>
      </c>
      <c r="J49" s="158">
        <v>46210.911319444444</v>
      </c>
      <c r="K49" s="101" t="s">
        <v>146</v>
      </c>
      <c r="L49" s="159">
        <v>46025</v>
      </c>
      <c r="M49" s="101" t="s">
        <v>215</v>
      </c>
      <c r="N49" s="101" t="s">
        <v>228</v>
      </c>
      <c r="O49" s="101" t="s">
        <v>160</v>
      </c>
      <c r="P49" s="101" t="s">
        <v>64</v>
      </c>
      <c r="Q49" s="101" t="s">
        <v>229</v>
      </c>
      <c r="R49" s="101" t="s">
        <v>205</v>
      </c>
      <c r="S49" s="101" t="s">
        <v>206</v>
      </c>
      <c r="T49" s="101" t="s">
        <v>207</v>
      </c>
      <c r="U49" s="102">
        <v>19500</v>
      </c>
      <c r="V49" s="101" t="s">
        <v>208</v>
      </c>
      <c r="W49" s="101" t="s">
        <v>209</v>
      </c>
      <c r="X49" s="101" t="s">
        <v>210</v>
      </c>
    </row>
    <row r="50" spans="2:24">
      <c r="B50" s="170" t="s">
        <v>604</v>
      </c>
      <c r="C50" s="79"/>
      <c r="E50" s="101" t="s">
        <v>63</v>
      </c>
      <c r="F50" s="102">
        <v>0</v>
      </c>
      <c r="G50" s="158">
        <v>46055.425150462965</v>
      </c>
      <c r="H50" s="161">
        <v>46210.084930555553</v>
      </c>
      <c r="I50" s="101" t="s">
        <v>146</v>
      </c>
      <c r="J50" s="158">
        <v>46210.911319444444</v>
      </c>
      <c r="K50" s="101" t="s">
        <v>146</v>
      </c>
      <c r="L50" s="159">
        <v>46026</v>
      </c>
      <c r="M50" s="101" t="s">
        <v>218</v>
      </c>
      <c r="N50" s="101" t="s">
        <v>230</v>
      </c>
      <c r="O50" s="101" t="s">
        <v>154</v>
      </c>
      <c r="P50" s="101" t="s">
        <v>64</v>
      </c>
      <c r="Q50" s="101" t="s">
        <v>231</v>
      </c>
      <c r="R50" s="101" t="s">
        <v>205</v>
      </c>
      <c r="S50" s="101" t="s">
        <v>206</v>
      </c>
      <c r="T50" s="101" t="s">
        <v>207</v>
      </c>
      <c r="U50" s="102">
        <v>20500</v>
      </c>
      <c r="V50" s="101" t="s">
        <v>208</v>
      </c>
      <c r="W50" s="101" t="s">
        <v>209</v>
      </c>
      <c r="X50" s="101" t="s">
        <v>210</v>
      </c>
    </row>
    <row r="51" spans="2:24">
      <c r="B51" s="170" t="s">
        <v>604</v>
      </c>
      <c r="C51" s="79"/>
      <c r="E51" s="101" t="s">
        <v>63</v>
      </c>
      <c r="F51" s="102">
        <v>0</v>
      </c>
      <c r="G51" s="158">
        <v>46055.425150462965</v>
      </c>
      <c r="H51" s="161">
        <v>46210.084930555553</v>
      </c>
      <c r="I51" s="101" t="s">
        <v>146</v>
      </c>
      <c r="J51" s="158">
        <v>46210.911319444444</v>
      </c>
      <c r="K51" s="101" t="s">
        <v>146</v>
      </c>
      <c r="L51" s="159">
        <v>46027</v>
      </c>
      <c r="M51" s="101" t="s">
        <v>221</v>
      </c>
      <c r="N51" s="101" t="s">
        <v>232</v>
      </c>
      <c r="O51" s="101" t="s">
        <v>157</v>
      </c>
      <c r="P51" s="101" t="s">
        <v>64</v>
      </c>
      <c r="Q51" s="101" t="s">
        <v>233</v>
      </c>
      <c r="R51" s="101" t="s">
        <v>205</v>
      </c>
      <c r="S51" s="101" t="s">
        <v>206</v>
      </c>
      <c r="T51" s="101" t="s">
        <v>207</v>
      </c>
      <c r="U51" s="102">
        <v>21500</v>
      </c>
      <c r="V51" s="101" t="s">
        <v>208</v>
      </c>
      <c r="W51" s="101" t="s">
        <v>209</v>
      </c>
      <c r="X51" s="101" t="s">
        <v>210</v>
      </c>
    </row>
    <row r="52" spans="2:24">
      <c r="B52" s="170" t="s">
        <v>604</v>
      </c>
      <c r="C52" s="79"/>
      <c r="E52" s="101" t="s">
        <v>63</v>
      </c>
      <c r="F52" s="102">
        <v>0</v>
      </c>
      <c r="G52" s="158">
        <v>46055.425150462965</v>
      </c>
      <c r="H52" s="161">
        <v>46210.084930555553</v>
      </c>
      <c r="I52" s="101" t="s">
        <v>146</v>
      </c>
      <c r="J52" s="158">
        <v>46210.911319444444</v>
      </c>
      <c r="K52" s="101" t="s">
        <v>146</v>
      </c>
      <c r="L52" s="159">
        <v>46028</v>
      </c>
      <c r="M52" s="101" t="s">
        <v>213</v>
      </c>
      <c r="N52" s="101" t="s">
        <v>232</v>
      </c>
      <c r="O52" s="101" t="s">
        <v>160</v>
      </c>
      <c r="P52" s="101" t="s">
        <v>64</v>
      </c>
      <c r="Q52" s="101" t="s">
        <v>234</v>
      </c>
      <c r="R52" s="101" t="s">
        <v>205</v>
      </c>
      <c r="S52" s="101" t="s">
        <v>206</v>
      </c>
      <c r="T52" s="101" t="s">
        <v>207</v>
      </c>
      <c r="U52" s="102">
        <v>22500</v>
      </c>
      <c r="V52" s="101" t="s">
        <v>208</v>
      </c>
      <c r="W52" s="101" t="s">
        <v>209</v>
      </c>
      <c r="X52" s="101" t="s">
        <v>210</v>
      </c>
    </row>
    <row r="53" spans="2:24">
      <c r="B53" s="170" t="s">
        <v>604</v>
      </c>
      <c r="C53" s="79"/>
      <c r="E53" s="101" t="s">
        <v>63</v>
      </c>
      <c r="F53" s="102">
        <v>0</v>
      </c>
      <c r="G53" s="158">
        <v>46055.425150462965</v>
      </c>
      <c r="H53" s="161">
        <v>46210.084930555553</v>
      </c>
      <c r="I53" s="101" t="s">
        <v>146</v>
      </c>
      <c r="J53" s="158">
        <v>46210.911319444444</v>
      </c>
      <c r="K53" s="101" t="s">
        <v>146</v>
      </c>
      <c r="L53" s="159">
        <v>46029</v>
      </c>
      <c r="M53" s="101" t="s">
        <v>213</v>
      </c>
      <c r="N53" s="101" t="s">
        <v>236</v>
      </c>
      <c r="O53" s="101" t="s">
        <v>160</v>
      </c>
      <c r="P53" s="101" t="s">
        <v>65</v>
      </c>
      <c r="Q53" s="101" t="s">
        <v>234</v>
      </c>
      <c r="R53" s="101" t="s">
        <v>520</v>
      </c>
      <c r="S53" s="101" t="s">
        <v>521</v>
      </c>
      <c r="T53" s="101" t="s">
        <v>522</v>
      </c>
      <c r="U53" s="102">
        <v>50</v>
      </c>
      <c r="V53" s="101" t="s">
        <v>208</v>
      </c>
      <c r="W53" s="101" t="s">
        <v>209</v>
      </c>
      <c r="X53" s="101" t="s">
        <v>210</v>
      </c>
    </row>
    <row r="54" spans="2:24">
      <c r="B54" s="170" t="s">
        <v>604</v>
      </c>
      <c r="C54" s="79"/>
      <c r="E54" s="101" t="s">
        <v>63</v>
      </c>
      <c r="F54" s="102">
        <v>0</v>
      </c>
      <c r="G54" s="158">
        <v>46055.425150462965</v>
      </c>
      <c r="H54" s="161">
        <v>46210.084930555553</v>
      </c>
      <c r="I54" s="101" t="s">
        <v>146</v>
      </c>
      <c r="J54" s="158">
        <v>46210.911319444444</v>
      </c>
      <c r="K54" s="101" t="s">
        <v>146</v>
      </c>
      <c r="L54" s="159">
        <v>46030</v>
      </c>
      <c r="M54" s="101" t="s">
        <v>213</v>
      </c>
      <c r="N54" s="101" t="s">
        <v>523</v>
      </c>
      <c r="O54" s="101" t="s">
        <v>160</v>
      </c>
      <c r="P54" s="101" t="s">
        <v>65</v>
      </c>
      <c r="Q54" s="101" t="s">
        <v>234</v>
      </c>
      <c r="R54" s="101" t="s">
        <v>520</v>
      </c>
      <c r="S54" s="101" t="s">
        <v>521</v>
      </c>
      <c r="T54" s="101" t="s">
        <v>522</v>
      </c>
      <c r="U54" s="102">
        <v>60</v>
      </c>
      <c r="V54" s="101" t="s">
        <v>208</v>
      </c>
      <c r="W54" s="101" t="s">
        <v>209</v>
      </c>
      <c r="X54" s="101" t="s">
        <v>210</v>
      </c>
    </row>
    <row r="55" spans="2:24">
      <c r="B55" s="170" t="s">
        <v>604</v>
      </c>
      <c r="C55" s="79"/>
      <c r="E55" s="101" t="s">
        <v>63</v>
      </c>
      <c r="F55" s="102">
        <v>0</v>
      </c>
      <c r="G55" s="158">
        <v>46055.425150462965</v>
      </c>
      <c r="H55" s="161">
        <v>46210.084930555553</v>
      </c>
      <c r="I55" s="101" t="s">
        <v>146</v>
      </c>
      <c r="J55" s="158">
        <v>46210.911319444444</v>
      </c>
      <c r="K55" s="101" t="s">
        <v>146</v>
      </c>
      <c r="L55" s="159">
        <v>46031</v>
      </c>
      <c r="M55" s="101" t="s">
        <v>213</v>
      </c>
      <c r="N55" s="101" t="s">
        <v>523</v>
      </c>
      <c r="O55" s="101" t="s">
        <v>160</v>
      </c>
      <c r="P55" s="101" t="s">
        <v>65</v>
      </c>
      <c r="Q55" s="101" t="s">
        <v>234</v>
      </c>
      <c r="R55" s="101" t="s">
        <v>520</v>
      </c>
      <c r="S55" s="101" t="s">
        <v>521</v>
      </c>
      <c r="T55" s="101" t="s">
        <v>207</v>
      </c>
      <c r="U55" s="102">
        <v>80</v>
      </c>
      <c r="V55" s="101" t="s">
        <v>208</v>
      </c>
      <c r="W55" s="101" t="s">
        <v>209</v>
      </c>
      <c r="X55" s="101" t="s">
        <v>210</v>
      </c>
    </row>
    <row r="56" spans="2:24">
      <c r="B56" s="170" t="s">
        <v>604</v>
      </c>
      <c r="C56" s="79"/>
      <c r="E56" s="101" t="s">
        <v>63</v>
      </c>
      <c r="F56" s="102">
        <v>0</v>
      </c>
      <c r="G56" s="158">
        <v>46055.425150462965</v>
      </c>
      <c r="H56" s="161">
        <v>46210.084930555553</v>
      </c>
      <c r="I56" s="101" t="s">
        <v>146</v>
      </c>
      <c r="J56" s="158">
        <v>46210.911319444444</v>
      </c>
      <c r="K56" s="101" t="s">
        <v>146</v>
      </c>
      <c r="L56" s="159">
        <v>46032</v>
      </c>
      <c r="M56" s="101" t="s">
        <v>213</v>
      </c>
      <c r="N56" s="101" t="s">
        <v>523</v>
      </c>
      <c r="O56" s="101" t="s">
        <v>160</v>
      </c>
      <c r="P56" s="101" t="s">
        <v>65</v>
      </c>
      <c r="Q56" s="101" t="s">
        <v>234</v>
      </c>
      <c r="R56" s="101" t="s">
        <v>520</v>
      </c>
      <c r="S56" s="101" t="s">
        <v>521</v>
      </c>
      <c r="T56" s="101" t="s">
        <v>522</v>
      </c>
      <c r="U56" s="102">
        <v>70</v>
      </c>
      <c r="V56" s="101" t="s">
        <v>208</v>
      </c>
      <c r="W56" s="101" t="s">
        <v>209</v>
      </c>
      <c r="X56" s="101" t="s">
        <v>210</v>
      </c>
    </row>
    <row r="57" spans="2:24" ht="40.5">
      <c r="B57" s="171" t="s">
        <v>174</v>
      </c>
      <c r="C57" s="79"/>
      <c r="E57" s="165" t="s">
        <v>65</v>
      </c>
      <c r="F57" s="102">
        <v>0</v>
      </c>
      <c r="G57" s="158">
        <v>46055.425150462965</v>
      </c>
      <c r="H57" s="161">
        <v>46210.084930555553</v>
      </c>
      <c r="I57" s="101" t="s">
        <v>146</v>
      </c>
      <c r="J57" s="158">
        <v>46210.911319444444</v>
      </c>
      <c r="K57" s="101" t="s">
        <v>146</v>
      </c>
      <c r="L57" s="159">
        <v>46033</v>
      </c>
      <c r="M57" s="101" t="s">
        <v>213</v>
      </c>
      <c r="N57" s="101" t="s">
        <v>523</v>
      </c>
      <c r="O57" s="101" t="s">
        <v>160</v>
      </c>
      <c r="P57" s="101" t="s">
        <v>65</v>
      </c>
      <c r="Q57" s="101" t="s">
        <v>234</v>
      </c>
      <c r="R57" s="101" t="s">
        <v>520</v>
      </c>
      <c r="S57" s="101" t="s">
        <v>521</v>
      </c>
      <c r="T57" s="101" t="s">
        <v>207</v>
      </c>
      <c r="U57" s="102">
        <v>90</v>
      </c>
      <c r="V57" s="101" t="s">
        <v>208</v>
      </c>
      <c r="W57" s="101" t="s">
        <v>209</v>
      </c>
      <c r="X57" s="101" t="s">
        <v>210</v>
      </c>
    </row>
    <row r="58" spans="2:24">
      <c r="B58" s="170" t="s">
        <v>604</v>
      </c>
      <c r="C58" s="79"/>
      <c r="E58" s="101" t="s">
        <v>63</v>
      </c>
      <c r="F58" s="102">
        <v>0</v>
      </c>
      <c r="G58" s="158">
        <v>46055.425150462965</v>
      </c>
      <c r="H58" s="161">
        <v>46084.773912037039</v>
      </c>
      <c r="I58" s="101" t="s">
        <v>146</v>
      </c>
      <c r="J58" s="158">
        <v>46084.558634259258</v>
      </c>
      <c r="K58" s="101" t="s">
        <v>146</v>
      </c>
      <c r="L58" s="159">
        <v>46034</v>
      </c>
      <c r="M58" s="101" t="s">
        <v>215</v>
      </c>
      <c r="N58" s="101" t="s">
        <v>216</v>
      </c>
      <c r="O58" s="101" t="s">
        <v>160</v>
      </c>
      <c r="P58" s="101" t="s">
        <v>524</v>
      </c>
      <c r="Q58" s="101" t="s">
        <v>217</v>
      </c>
      <c r="R58" s="101" t="s">
        <v>205</v>
      </c>
      <c r="S58" s="101" t="s">
        <v>206</v>
      </c>
      <c r="T58" s="101" t="s">
        <v>207</v>
      </c>
      <c r="U58" s="102">
        <v>14500</v>
      </c>
      <c r="V58" s="101" t="s">
        <v>208</v>
      </c>
      <c r="W58" s="101" t="s">
        <v>209</v>
      </c>
      <c r="X58" s="101" t="s">
        <v>210</v>
      </c>
    </row>
    <row r="59" spans="2:24">
      <c r="B59" s="170" t="s">
        <v>604</v>
      </c>
      <c r="C59" s="79"/>
      <c r="E59" s="101" t="s">
        <v>63</v>
      </c>
      <c r="F59" s="102">
        <v>0</v>
      </c>
      <c r="G59" s="158">
        <v>46055.425150462965</v>
      </c>
      <c r="H59" s="161">
        <v>46210.084930555553</v>
      </c>
      <c r="I59" s="101" t="s">
        <v>146</v>
      </c>
      <c r="J59" s="158">
        <v>46210.911319444444</v>
      </c>
      <c r="K59" s="101" t="s">
        <v>146</v>
      </c>
      <c r="L59" s="159">
        <v>46035</v>
      </c>
      <c r="M59" s="101" t="s">
        <v>213</v>
      </c>
      <c r="N59" s="101" t="s">
        <v>525</v>
      </c>
      <c r="O59" s="101" t="s">
        <v>157</v>
      </c>
      <c r="P59" s="101" t="s">
        <v>64</v>
      </c>
      <c r="Q59" s="101" t="s">
        <v>234</v>
      </c>
      <c r="R59" s="101" t="s">
        <v>205</v>
      </c>
      <c r="S59" s="101" t="s">
        <v>206</v>
      </c>
      <c r="T59" s="101" t="s">
        <v>207</v>
      </c>
      <c r="U59" s="102">
        <v>10</v>
      </c>
      <c r="V59" s="101" t="s">
        <v>208</v>
      </c>
      <c r="W59" s="101" t="s">
        <v>209</v>
      </c>
      <c r="X59" s="101" t="s">
        <v>210</v>
      </c>
    </row>
    <row r="60" spans="2:24">
      <c r="B60" s="97" t="s">
        <v>212</v>
      </c>
      <c r="C60" s="79"/>
      <c r="E60" s="101" t="s">
        <v>63</v>
      </c>
      <c r="F60" s="102">
        <v>0</v>
      </c>
      <c r="G60" s="158">
        <v>46055.425150462965</v>
      </c>
      <c r="H60" s="161">
        <v>46210.084930555553</v>
      </c>
      <c r="I60" s="101" t="s">
        <v>146</v>
      </c>
      <c r="J60" s="158">
        <v>46210.911319444444</v>
      </c>
      <c r="K60" s="101" t="s">
        <v>146</v>
      </c>
      <c r="L60" s="159">
        <v>46036</v>
      </c>
      <c r="M60" s="101" t="s">
        <v>213</v>
      </c>
      <c r="N60" s="101" t="s">
        <v>525</v>
      </c>
      <c r="O60" s="101" t="s">
        <v>160</v>
      </c>
      <c r="P60" s="101" t="s">
        <v>65</v>
      </c>
      <c r="Q60" s="101" t="s">
        <v>234</v>
      </c>
      <c r="R60" s="101" t="s">
        <v>205</v>
      </c>
      <c r="S60" s="101" t="s">
        <v>206</v>
      </c>
      <c r="T60" s="101" t="s">
        <v>207</v>
      </c>
      <c r="U60" s="102">
        <v>30</v>
      </c>
      <c r="V60" s="101" t="s">
        <v>208</v>
      </c>
      <c r="W60" s="101" t="s">
        <v>209</v>
      </c>
      <c r="X60" s="101" t="s">
        <v>210</v>
      </c>
    </row>
    <row r="61" spans="2:24">
      <c r="B61" s="97" t="s">
        <v>212</v>
      </c>
      <c r="C61" s="79"/>
      <c r="E61" s="101" t="s">
        <v>63</v>
      </c>
      <c r="F61" s="102">
        <v>0</v>
      </c>
      <c r="G61" s="158">
        <v>46055.425150462965</v>
      </c>
      <c r="H61" s="161">
        <v>46210.084930555553</v>
      </c>
      <c r="I61" s="101" t="s">
        <v>146</v>
      </c>
      <c r="J61" s="158">
        <v>46210.911319444444</v>
      </c>
      <c r="K61" s="101" t="s">
        <v>146</v>
      </c>
      <c r="L61" s="159">
        <v>46053</v>
      </c>
      <c r="M61" s="101" t="s">
        <v>213</v>
      </c>
      <c r="N61" s="101" t="s">
        <v>525</v>
      </c>
      <c r="O61" s="101" t="s">
        <v>65</v>
      </c>
      <c r="P61" s="101" t="s">
        <v>65</v>
      </c>
      <c r="Q61" s="101" t="s">
        <v>234</v>
      </c>
      <c r="R61" s="101" t="s">
        <v>205</v>
      </c>
      <c r="S61" s="101" t="s">
        <v>206</v>
      </c>
      <c r="T61" s="101" t="s">
        <v>207</v>
      </c>
      <c r="U61" s="102">
        <v>20</v>
      </c>
      <c r="V61" s="101" t="s">
        <v>208</v>
      </c>
      <c r="W61" s="101" t="s">
        <v>209</v>
      </c>
      <c r="X61" s="101" t="s">
        <v>210</v>
      </c>
    </row>
    <row r="62" spans="2:24">
      <c r="B62" s="170" t="s">
        <v>604</v>
      </c>
      <c r="C62" s="79"/>
      <c r="E62" s="101" t="s">
        <v>63</v>
      </c>
      <c r="F62" s="102">
        <v>0</v>
      </c>
      <c r="G62" s="158">
        <v>46055.425150462965</v>
      </c>
      <c r="H62" s="161">
        <v>46210.084930555553</v>
      </c>
      <c r="I62" s="101" t="s">
        <v>146</v>
      </c>
      <c r="J62" s="158">
        <v>46210.911319444444</v>
      </c>
      <c r="K62" s="101" t="s">
        <v>146</v>
      </c>
      <c r="L62" s="159">
        <v>46054</v>
      </c>
      <c r="M62" s="101" t="s">
        <v>202</v>
      </c>
      <c r="N62" s="101" t="s">
        <v>226</v>
      </c>
      <c r="O62" s="101" t="s">
        <v>160</v>
      </c>
      <c r="P62" s="101" t="s">
        <v>65</v>
      </c>
      <c r="Q62" s="101" t="s">
        <v>227</v>
      </c>
      <c r="R62" s="101" t="s">
        <v>205</v>
      </c>
      <c r="S62" s="101" t="s">
        <v>206</v>
      </c>
      <c r="T62" s="101" t="s">
        <v>207</v>
      </c>
      <c r="U62" s="102">
        <v>18500</v>
      </c>
      <c r="V62" s="101" t="s">
        <v>208</v>
      </c>
      <c r="W62" s="101" t="s">
        <v>209</v>
      </c>
      <c r="X62" s="101" t="s">
        <v>210</v>
      </c>
    </row>
    <row r="63" spans="2:24" ht="27">
      <c r="B63" s="80" t="s">
        <v>503</v>
      </c>
      <c r="C63" s="79"/>
      <c r="E63" s="101" t="s">
        <v>63</v>
      </c>
      <c r="F63" s="102">
        <v>0</v>
      </c>
      <c r="G63" s="158">
        <v>46055.425150462965</v>
      </c>
      <c r="H63" s="161">
        <v>46210.084930555553</v>
      </c>
      <c r="I63" s="101" t="s">
        <v>146</v>
      </c>
      <c r="J63" s="158">
        <v>46210.911319444444</v>
      </c>
      <c r="K63" s="101" t="s">
        <v>146</v>
      </c>
      <c r="L63" s="159">
        <v>46054</v>
      </c>
      <c r="M63" s="101" t="s">
        <v>213</v>
      </c>
      <c r="N63" s="101" t="s">
        <v>237</v>
      </c>
      <c r="O63" s="101" t="s">
        <v>160</v>
      </c>
      <c r="P63" s="101" t="s">
        <v>65</v>
      </c>
      <c r="Q63" s="101" t="s">
        <v>234</v>
      </c>
      <c r="R63" s="101" t="s">
        <v>520</v>
      </c>
      <c r="S63" s="101" t="s">
        <v>206</v>
      </c>
      <c r="T63" s="101" t="s">
        <v>207</v>
      </c>
      <c r="U63" s="102"/>
      <c r="V63" s="101" t="s">
        <v>208</v>
      </c>
      <c r="W63" s="101" t="s">
        <v>209</v>
      </c>
      <c r="X63" s="101" t="s">
        <v>210</v>
      </c>
    </row>
    <row r="64" spans="2:24">
      <c r="B64" s="170" t="s">
        <v>604</v>
      </c>
      <c r="C64" s="79"/>
      <c r="E64" s="101" t="s">
        <v>63</v>
      </c>
      <c r="F64" s="102">
        <v>0</v>
      </c>
      <c r="G64" s="158">
        <v>46055.425150462965</v>
      </c>
      <c r="H64" s="161">
        <v>46210.084930555553</v>
      </c>
      <c r="I64" s="101" t="s">
        <v>146</v>
      </c>
      <c r="J64" s="158">
        <v>46210.911319444444</v>
      </c>
      <c r="K64" s="101" t="s">
        <v>146</v>
      </c>
      <c r="L64" s="159">
        <v>46054</v>
      </c>
      <c r="M64" s="101" t="s">
        <v>213</v>
      </c>
      <c r="N64" s="101" t="s">
        <v>239</v>
      </c>
      <c r="O64" s="101" t="s">
        <v>160</v>
      </c>
      <c r="P64" s="101" t="s">
        <v>65</v>
      </c>
      <c r="Q64" s="101" t="s">
        <v>234</v>
      </c>
      <c r="R64" s="101" t="s">
        <v>520</v>
      </c>
      <c r="S64" s="101" t="s">
        <v>206</v>
      </c>
      <c r="T64" s="101" t="s">
        <v>207</v>
      </c>
      <c r="U64" s="102">
        <v>120</v>
      </c>
      <c r="V64" s="101" t="s">
        <v>208</v>
      </c>
      <c r="W64" s="101" t="s">
        <v>209</v>
      </c>
      <c r="X64" s="101" t="s">
        <v>210</v>
      </c>
    </row>
    <row r="65" spans="2:24">
      <c r="B65" s="170" t="s">
        <v>604</v>
      </c>
      <c r="C65" s="79"/>
      <c r="E65" s="101" t="s">
        <v>63</v>
      </c>
      <c r="F65" s="102">
        <v>0</v>
      </c>
      <c r="G65" s="158">
        <v>46055.425150462965</v>
      </c>
      <c r="H65" s="161">
        <v>46210.084930555553</v>
      </c>
      <c r="I65" s="101" t="s">
        <v>146</v>
      </c>
      <c r="J65" s="158">
        <v>46210.911319444444</v>
      </c>
      <c r="K65" s="101" t="s">
        <v>146</v>
      </c>
      <c r="L65" s="159">
        <v>46068</v>
      </c>
      <c r="M65" s="101" t="s">
        <v>221</v>
      </c>
      <c r="N65" s="101" t="s">
        <v>232</v>
      </c>
      <c r="O65" s="101" t="s">
        <v>160</v>
      </c>
      <c r="P65" s="101" t="s">
        <v>64</v>
      </c>
      <c r="Q65" s="101" t="s">
        <v>233</v>
      </c>
      <c r="R65" s="101" t="s">
        <v>205</v>
      </c>
      <c r="S65" s="101" t="s">
        <v>206</v>
      </c>
      <c r="T65" s="101" t="s">
        <v>207</v>
      </c>
      <c r="U65" s="102">
        <v>21500</v>
      </c>
      <c r="V65" s="101" t="s">
        <v>208</v>
      </c>
      <c r="W65" s="101" t="s">
        <v>209</v>
      </c>
      <c r="X65" s="101" t="s">
        <v>210</v>
      </c>
    </row>
    <row r="66" spans="2:24">
      <c r="B66" s="170" t="s">
        <v>604</v>
      </c>
      <c r="C66" s="79"/>
      <c r="E66" s="101" t="s">
        <v>63</v>
      </c>
      <c r="F66" s="102">
        <v>0</v>
      </c>
      <c r="G66" s="158">
        <v>46055.425150462965</v>
      </c>
      <c r="H66" s="161">
        <v>46210.084930555553</v>
      </c>
      <c r="I66" s="101" t="s">
        <v>146</v>
      </c>
      <c r="J66" s="158">
        <v>46210.911319444444</v>
      </c>
      <c r="K66" s="101" t="s">
        <v>146</v>
      </c>
      <c r="L66" s="159">
        <v>46068</v>
      </c>
      <c r="M66" s="101" t="s">
        <v>213</v>
      </c>
      <c r="N66" s="101" t="s">
        <v>238</v>
      </c>
      <c r="O66" s="101" t="s">
        <v>160</v>
      </c>
      <c r="P66" s="101" t="s">
        <v>65</v>
      </c>
      <c r="Q66" s="101" t="s">
        <v>234</v>
      </c>
      <c r="R66" s="101" t="s">
        <v>520</v>
      </c>
      <c r="S66" s="101" t="s">
        <v>206</v>
      </c>
      <c r="T66" s="101" t="s">
        <v>207</v>
      </c>
      <c r="U66" s="102">
        <v>110</v>
      </c>
      <c r="V66" s="101" t="s">
        <v>208</v>
      </c>
      <c r="W66" s="101" t="s">
        <v>209</v>
      </c>
      <c r="X66" s="101" t="s">
        <v>210</v>
      </c>
    </row>
    <row r="67" spans="2:24">
      <c r="B67" s="170" t="s">
        <v>604</v>
      </c>
      <c r="C67" s="79"/>
      <c r="E67" s="101" t="s">
        <v>63</v>
      </c>
      <c r="F67" s="102">
        <v>0</v>
      </c>
      <c r="G67" s="158">
        <v>46055.425150462965</v>
      </c>
      <c r="H67" s="161">
        <v>46210.084930555553</v>
      </c>
      <c r="I67" s="101" t="s">
        <v>146</v>
      </c>
      <c r="J67" s="158">
        <v>46210.911319444444</v>
      </c>
      <c r="K67" s="101" t="s">
        <v>146</v>
      </c>
      <c r="L67" s="159">
        <v>46073</v>
      </c>
      <c r="M67" s="101" t="s">
        <v>221</v>
      </c>
      <c r="N67" s="101" t="s">
        <v>232</v>
      </c>
      <c r="O67" s="101" t="s">
        <v>160</v>
      </c>
      <c r="P67" s="101" t="s">
        <v>64</v>
      </c>
      <c r="Q67" s="101" t="s">
        <v>233</v>
      </c>
      <c r="R67" s="101" t="s">
        <v>205</v>
      </c>
      <c r="S67" s="101" t="s">
        <v>206</v>
      </c>
      <c r="T67" s="101" t="s">
        <v>207</v>
      </c>
      <c r="U67" s="102">
        <v>21500</v>
      </c>
      <c r="V67" s="101" t="s">
        <v>208</v>
      </c>
      <c r="W67" s="101" t="s">
        <v>209</v>
      </c>
      <c r="X67" s="101" t="s">
        <v>210</v>
      </c>
    </row>
    <row r="68" spans="2:24">
      <c r="B68" s="170" t="s">
        <v>604</v>
      </c>
      <c r="C68" s="79"/>
      <c r="E68" s="101" t="s">
        <v>63</v>
      </c>
      <c r="F68" s="102">
        <v>0</v>
      </c>
      <c r="G68" s="158">
        <v>46055.425150462965</v>
      </c>
      <c r="H68" s="161">
        <v>46210.084930555553</v>
      </c>
      <c r="I68" s="101" t="s">
        <v>146</v>
      </c>
      <c r="J68" s="158">
        <v>46210.911319444444</v>
      </c>
      <c r="K68" s="101" t="s">
        <v>146</v>
      </c>
      <c r="L68" s="159">
        <v>46081</v>
      </c>
      <c r="M68" s="101" t="s">
        <v>221</v>
      </c>
      <c r="N68" s="101" t="s">
        <v>232</v>
      </c>
      <c r="O68" s="101" t="s">
        <v>160</v>
      </c>
      <c r="P68" s="101" t="s">
        <v>64</v>
      </c>
      <c r="Q68" s="101" t="s">
        <v>233</v>
      </c>
      <c r="R68" s="101" t="s">
        <v>205</v>
      </c>
      <c r="S68" s="101" t="s">
        <v>206</v>
      </c>
      <c r="T68" s="101" t="s">
        <v>207</v>
      </c>
      <c r="U68" s="102">
        <v>21500</v>
      </c>
      <c r="V68" s="101" t="s">
        <v>208</v>
      </c>
      <c r="W68" s="101" t="s">
        <v>209</v>
      </c>
      <c r="X68" s="101" t="s">
        <v>210</v>
      </c>
    </row>
    <row r="69" spans="2:24">
      <c r="B69" s="97" t="s">
        <v>212</v>
      </c>
      <c r="C69" s="79"/>
      <c r="E69" s="101" t="s">
        <v>63</v>
      </c>
      <c r="F69" s="102">
        <v>0</v>
      </c>
      <c r="G69" s="158">
        <v>46055.425150462965</v>
      </c>
      <c r="H69" s="161">
        <v>46210.084930555553</v>
      </c>
      <c r="I69" s="101" t="s">
        <v>146</v>
      </c>
      <c r="J69" s="158">
        <v>46210.911319444444</v>
      </c>
      <c r="K69" s="101" t="s">
        <v>146</v>
      </c>
      <c r="L69" s="159">
        <v>46081</v>
      </c>
      <c r="M69" s="101" t="s">
        <v>213</v>
      </c>
      <c r="N69" s="101" t="s">
        <v>526</v>
      </c>
      <c r="O69" s="101" t="s">
        <v>154</v>
      </c>
      <c r="P69" s="101" t="s">
        <v>65</v>
      </c>
      <c r="Q69" s="101" t="s">
        <v>234</v>
      </c>
      <c r="R69" s="101" t="s">
        <v>520</v>
      </c>
      <c r="S69" s="101" t="s">
        <v>521</v>
      </c>
      <c r="T69" s="101" t="s">
        <v>522</v>
      </c>
      <c r="U69" s="102">
        <v>40</v>
      </c>
      <c r="V69" s="101" t="s">
        <v>208</v>
      </c>
      <c r="W69" s="101" t="s">
        <v>209</v>
      </c>
      <c r="X69" s="101" t="s">
        <v>210</v>
      </c>
    </row>
    <row r="70" spans="2:24">
      <c r="B70" s="97" t="s">
        <v>212</v>
      </c>
      <c r="C70" s="79"/>
      <c r="E70" s="101" t="s">
        <v>63</v>
      </c>
      <c r="F70" s="102">
        <v>0</v>
      </c>
      <c r="G70" s="158">
        <v>46055.425150462965</v>
      </c>
      <c r="H70" s="161">
        <v>46210.084930555553</v>
      </c>
      <c r="I70" s="101" t="s">
        <v>146</v>
      </c>
      <c r="J70" s="158">
        <v>46210.911319444444</v>
      </c>
      <c r="K70" s="101" t="s">
        <v>146</v>
      </c>
      <c r="L70" s="159">
        <v>46082</v>
      </c>
      <c r="M70" s="101" t="s">
        <v>213</v>
      </c>
      <c r="N70" s="101" t="s">
        <v>240</v>
      </c>
      <c r="O70" s="101" t="s">
        <v>160</v>
      </c>
      <c r="P70" s="101" t="s">
        <v>65</v>
      </c>
      <c r="Q70" s="101" t="s">
        <v>234</v>
      </c>
      <c r="R70" s="101" t="s">
        <v>520</v>
      </c>
      <c r="S70" s="101" t="s">
        <v>206</v>
      </c>
      <c r="T70" s="101" t="s">
        <v>207</v>
      </c>
      <c r="U70" s="102">
        <v>130</v>
      </c>
      <c r="V70" s="101" t="s">
        <v>208</v>
      </c>
      <c r="W70" s="101" t="s">
        <v>209</v>
      </c>
      <c r="X70" s="101" t="s">
        <v>210</v>
      </c>
    </row>
    <row r="71" spans="2:24">
      <c r="B71" s="97" t="s">
        <v>212</v>
      </c>
      <c r="C71" s="79"/>
      <c r="E71" s="101" t="s">
        <v>63</v>
      </c>
      <c r="F71" s="102">
        <v>0</v>
      </c>
      <c r="G71" s="158">
        <v>46055.425150462965</v>
      </c>
      <c r="H71" s="161">
        <v>46210.084930555553</v>
      </c>
      <c r="I71" s="101" t="s">
        <v>146</v>
      </c>
      <c r="J71" s="158">
        <v>46210.911319444444</v>
      </c>
      <c r="K71" s="101" t="s">
        <v>146</v>
      </c>
      <c r="L71" s="159">
        <v>46082</v>
      </c>
      <c r="M71" s="101" t="s">
        <v>213</v>
      </c>
      <c r="N71" s="101" t="s">
        <v>527</v>
      </c>
      <c r="O71" s="101" t="s">
        <v>160</v>
      </c>
      <c r="P71" s="101" t="s">
        <v>65</v>
      </c>
      <c r="Q71" s="101" t="s">
        <v>234</v>
      </c>
      <c r="R71" s="101" t="s">
        <v>520</v>
      </c>
      <c r="S71" s="101" t="s">
        <v>206</v>
      </c>
      <c r="T71" s="101" t="s">
        <v>207</v>
      </c>
      <c r="U71" s="102">
        <v>140</v>
      </c>
      <c r="V71" s="101" t="s">
        <v>208</v>
      </c>
      <c r="W71" s="101" t="s">
        <v>209</v>
      </c>
      <c r="X71" s="101" t="s">
        <v>210</v>
      </c>
    </row>
    <row r="72" spans="2:24">
      <c r="B72" s="97" t="s">
        <v>212</v>
      </c>
      <c r="C72" s="79"/>
      <c r="E72" s="101" t="s">
        <v>63</v>
      </c>
      <c r="F72" s="102">
        <v>0</v>
      </c>
      <c r="G72" s="158">
        <v>46055.425150462965</v>
      </c>
      <c r="H72" s="161">
        <v>46210.084930555553</v>
      </c>
      <c r="I72" s="101" t="s">
        <v>146</v>
      </c>
      <c r="J72" s="158">
        <v>46210.911319444444</v>
      </c>
      <c r="K72" s="101" t="s">
        <v>146</v>
      </c>
      <c r="L72" s="159">
        <v>46096</v>
      </c>
      <c r="M72" s="101" t="s">
        <v>213</v>
      </c>
      <c r="N72" s="101" t="s">
        <v>527</v>
      </c>
      <c r="O72" s="101" t="s">
        <v>160</v>
      </c>
      <c r="P72" s="101" t="s">
        <v>65</v>
      </c>
      <c r="Q72" s="101" t="s">
        <v>528</v>
      </c>
      <c r="R72" s="101" t="s">
        <v>205</v>
      </c>
      <c r="S72" s="101" t="s">
        <v>206</v>
      </c>
      <c r="T72" s="101" t="s">
        <v>207</v>
      </c>
      <c r="U72" s="102">
        <v>160</v>
      </c>
      <c r="V72" s="101" t="s">
        <v>208</v>
      </c>
      <c r="W72" s="101" t="s">
        <v>209</v>
      </c>
      <c r="X72" s="101" t="s">
        <v>210</v>
      </c>
    </row>
    <row r="73" spans="2:24">
      <c r="B73" s="97" t="s">
        <v>212</v>
      </c>
      <c r="C73" s="79"/>
      <c r="E73" s="101" t="s">
        <v>63</v>
      </c>
      <c r="F73" s="102">
        <v>0</v>
      </c>
      <c r="G73" s="158">
        <v>46055.425150462965</v>
      </c>
      <c r="H73" s="161">
        <v>46210.084930555553</v>
      </c>
      <c r="I73" s="101" t="s">
        <v>146</v>
      </c>
      <c r="J73" s="158">
        <v>46210.911319444444</v>
      </c>
      <c r="K73" s="101" t="s">
        <v>146</v>
      </c>
      <c r="L73" s="159">
        <v>46096</v>
      </c>
      <c r="M73" s="101" t="s">
        <v>213</v>
      </c>
      <c r="N73" s="101" t="s">
        <v>527</v>
      </c>
      <c r="O73" s="101" t="s">
        <v>160</v>
      </c>
      <c r="P73" s="101" t="s">
        <v>65</v>
      </c>
      <c r="Q73" s="101" t="s">
        <v>528</v>
      </c>
      <c r="R73" s="101" t="s">
        <v>205</v>
      </c>
      <c r="S73" s="101" t="s">
        <v>529</v>
      </c>
      <c r="T73" s="101" t="s">
        <v>207</v>
      </c>
      <c r="U73" s="102">
        <v>170</v>
      </c>
      <c r="V73" s="101" t="s">
        <v>208</v>
      </c>
      <c r="W73" s="101" t="s">
        <v>209</v>
      </c>
      <c r="X73" s="101" t="s">
        <v>210</v>
      </c>
    </row>
    <row r="74" spans="2:24">
      <c r="B74" s="97" t="s">
        <v>212</v>
      </c>
      <c r="C74" s="79"/>
      <c r="E74" s="101" t="s">
        <v>63</v>
      </c>
      <c r="F74" s="102">
        <v>0</v>
      </c>
      <c r="G74" s="158">
        <v>46055.425150462965</v>
      </c>
      <c r="H74" s="161">
        <v>46210.084930555553</v>
      </c>
      <c r="I74" s="101" t="s">
        <v>146</v>
      </c>
      <c r="J74" s="158">
        <v>46210.911319444444</v>
      </c>
      <c r="K74" s="101" t="s">
        <v>146</v>
      </c>
      <c r="L74" s="159">
        <v>46096</v>
      </c>
      <c r="M74" s="101" t="s">
        <v>213</v>
      </c>
      <c r="N74" s="101" t="s">
        <v>527</v>
      </c>
      <c r="O74" s="101" t="s">
        <v>157</v>
      </c>
      <c r="P74" s="101" t="s">
        <v>65</v>
      </c>
      <c r="Q74" s="101" t="s">
        <v>234</v>
      </c>
      <c r="R74" s="101" t="s">
        <v>205</v>
      </c>
      <c r="S74" s="101" t="s">
        <v>206</v>
      </c>
      <c r="T74" s="101" t="s">
        <v>207</v>
      </c>
      <c r="U74" s="102">
        <v>150</v>
      </c>
      <c r="V74" s="101" t="s">
        <v>208</v>
      </c>
      <c r="W74" s="101" t="s">
        <v>209</v>
      </c>
      <c r="X74" s="101" t="s">
        <v>210</v>
      </c>
    </row>
    <row r="75" spans="2:24">
      <c r="B75" s="97" t="s">
        <v>212</v>
      </c>
      <c r="C75" s="79"/>
      <c r="E75" s="101" t="s">
        <v>63</v>
      </c>
      <c r="F75" s="102">
        <v>0</v>
      </c>
      <c r="G75" s="158">
        <v>46055.425150462965</v>
      </c>
      <c r="H75" s="161">
        <v>46210.084930555553</v>
      </c>
      <c r="I75" s="101" t="s">
        <v>146</v>
      </c>
      <c r="J75" s="158">
        <v>46210.911319444444</v>
      </c>
      <c r="K75" s="101" t="s">
        <v>146</v>
      </c>
      <c r="L75" s="159">
        <v>46109</v>
      </c>
      <c r="M75" s="101" t="s">
        <v>213</v>
      </c>
      <c r="N75" s="101" t="s">
        <v>527</v>
      </c>
      <c r="O75" s="101" t="s">
        <v>154</v>
      </c>
      <c r="P75" s="101" t="s">
        <v>65</v>
      </c>
      <c r="Q75" s="101" t="s">
        <v>530</v>
      </c>
      <c r="R75" s="101" t="s">
        <v>531</v>
      </c>
      <c r="S75" s="101" t="s">
        <v>206</v>
      </c>
      <c r="T75" s="101" t="s">
        <v>522</v>
      </c>
      <c r="U75" s="102">
        <v>180</v>
      </c>
      <c r="V75" s="101" t="s">
        <v>208</v>
      </c>
      <c r="W75" s="101" t="s">
        <v>209</v>
      </c>
      <c r="X75" s="101" t="s">
        <v>210</v>
      </c>
    </row>
    <row r="76" spans="2:24">
      <c r="B76" s="97" t="s">
        <v>212</v>
      </c>
      <c r="C76" s="79"/>
      <c r="E76" s="101" t="s">
        <v>63</v>
      </c>
      <c r="F76" s="102">
        <v>0</v>
      </c>
      <c r="G76" s="158">
        <v>46055.425150462965</v>
      </c>
      <c r="H76" s="161">
        <v>46210.084930555553</v>
      </c>
      <c r="I76" s="101" t="s">
        <v>146</v>
      </c>
      <c r="J76" s="158">
        <v>46210.911319444444</v>
      </c>
      <c r="K76" s="101" t="s">
        <v>146</v>
      </c>
      <c r="L76" s="159">
        <v>46109</v>
      </c>
      <c r="M76" s="101" t="s">
        <v>213</v>
      </c>
      <c r="N76" s="101" t="s">
        <v>527</v>
      </c>
      <c r="O76" s="101" t="s">
        <v>154</v>
      </c>
      <c r="P76" s="101" t="s">
        <v>65</v>
      </c>
      <c r="Q76" s="101" t="s">
        <v>532</v>
      </c>
      <c r="R76" s="101" t="s">
        <v>205</v>
      </c>
      <c r="S76" s="101" t="s">
        <v>206</v>
      </c>
      <c r="T76" s="101" t="s">
        <v>207</v>
      </c>
      <c r="U76" s="102">
        <v>190</v>
      </c>
      <c r="V76" s="101" t="s">
        <v>208</v>
      </c>
      <c r="W76" s="101" t="s">
        <v>209</v>
      </c>
      <c r="X76" s="101" t="s">
        <v>210</v>
      </c>
    </row>
    <row r="77" spans="2:24">
      <c r="B77" s="97" t="s">
        <v>212</v>
      </c>
      <c r="C77" s="79"/>
      <c r="E77" s="101" t="s">
        <v>63</v>
      </c>
      <c r="F77" s="102">
        <v>0</v>
      </c>
      <c r="G77" s="158">
        <v>46055.425150462965</v>
      </c>
      <c r="H77" s="161">
        <v>46210.084930555553</v>
      </c>
      <c r="I77" s="101" t="s">
        <v>146</v>
      </c>
      <c r="J77" s="158">
        <v>46210.911319444444</v>
      </c>
      <c r="K77" s="101" t="s">
        <v>146</v>
      </c>
      <c r="L77" s="159">
        <v>46109</v>
      </c>
      <c r="M77" s="101" t="s">
        <v>213</v>
      </c>
      <c r="N77" s="101" t="s">
        <v>533</v>
      </c>
      <c r="O77" s="101" t="s">
        <v>160</v>
      </c>
      <c r="P77" s="101" t="s">
        <v>65</v>
      </c>
      <c r="Q77" s="101" t="s">
        <v>234</v>
      </c>
      <c r="R77" s="101" t="s">
        <v>205</v>
      </c>
      <c r="S77" s="101" t="s">
        <v>206</v>
      </c>
      <c r="T77" s="101" t="s">
        <v>207</v>
      </c>
      <c r="U77" s="102">
        <v>200</v>
      </c>
      <c r="V77" s="101" t="s">
        <v>208</v>
      </c>
      <c r="W77" s="101" t="s">
        <v>209</v>
      </c>
      <c r="X77" s="101" t="s">
        <v>210</v>
      </c>
    </row>
    <row r="78" spans="2:24">
      <c r="B78" s="97" t="s">
        <v>212</v>
      </c>
      <c r="C78" s="79"/>
      <c r="E78" s="101" t="s">
        <v>63</v>
      </c>
      <c r="F78" s="102">
        <v>0</v>
      </c>
      <c r="G78" s="158">
        <v>46055.425150462965</v>
      </c>
      <c r="H78" s="161">
        <v>46055.685567129629</v>
      </c>
      <c r="I78" s="101" t="s">
        <v>146</v>
      </c>
      <c r="J78" s="158">
        <v>46055.470289351855</v>
      </c>
      <c r="K78" s="101" t="s">
        <v>146</v>
      </c>
      <c r="L78" s="159">
        <v>46142</v>
      </c>
      <c r="M78" s="101" t="s">
        <v>213</v>
      </c>
      <c r="N78" s="101" t="s">
        <v>203</v>
      </c>
      <c r="O78" s="101" t="s">
        <v>157</v>
      </c>
      <c r="P78" s="101" t="s">
        <v>157</v>
      </c>
      <c r="Q78" s="101" t="s">
        <v>214</v>
      </c>
      <c r="R78" s="101" t="s">
        <v>205</v>
      </c>
      <c r="S78" s="101" t="s">
        <v>206</v>
      </c>
      <c r="T78" s="101" t="s">
        <v>207</v>
      </c>
      <c r="U78" s="102">
        <v>13500</v>
      </c>
      <c r="V78" s="101" t="s">
        <v>208</v>
      </c>
      <c r="W78" s="101" t="s">
        <v>209</v>
      </c>
      <c r="X78" s="101" t="s">
        <v>210</v>
      </c>
    </row>
    <row r="83" spans="2:22">
      <c r="D83" s="64" t="s">
        <v>242</v>
      </c>
      <c r="J83" s="78" t="s">
        <v>68</v>
      </c>
      <c r="K83" s="78" t="s">
        <v>68</v>
      </c>
      <c r="L83" s="78" t="s">
        <v>68</v>
      </c>
      <c r="M83" s="78" t="s">
        <v>68</v>
      </c>
      <c r="N83" s="78" t="s">
        <v>68</v>
      </c>
      <c r="O83" s="78" t="s">
        <v>68</v>
      </c>
      <c r="P83" s="78" t="s">
        <v>68</v>
      </c>
      <c r="Q83" s="78" t="s">
        <v>68</v>
      </c>
      <c r="R83" s="78" t="s">
        <v>68</v>
      </c>
    </row>
    <row r="84" spans="2:22">
      <c r="D84" s="64" t="s">
        <v>243</v>
      </c>
      <c r="J84" s="78"/>
      <c r="K84" s="78"/>
      <c r="L84" s="78"/>
      <c r="M84" s="78"/>
      <c r="N84" s="78"/>
      <c r="O84" s="78"/>
      <c r="P84" s="78"/>
      <c r="Q84" s="78"/>
      <c r="R84" s="78"/>
    </row>
    <row r="85" spans="2:22">
      <c r="B85" s="154" t="s">
        <v>44</v>
      </c>
      <c r="C85" s="156" t="s">
        <v>72</v>
      </c>
      <c r="E85" s="92" t="s">
        <v>76</v>
      </c>
      <c r="F85" s="92" t="s">
        <v>77</v>
      </c>
      <c r="G85" s="92" t="s">
        <v>78</v>
      </c>
      <c r="H85" s="92" t="s">
        <v>79</v>
      </c>
      <c r="I85" s="92" t="s">
        <v>87</v>
      </c>
      <c r="J85" s="92" t="s">
        <v>109</v>
      </c>
      <c r="K85" s="92" t="s">
        <v>179</v>
      </c>
      <c r="L85" s="92" t="s">
        <v>180</v>
      </c>
      <c r="M85" s="92" t="s">
        <v>181</v>
      </c>
      <c r="N85" s="92" t="s">
        <v>182</v>
      </c>
      <c r="O85" s="92" t="s">
        <v>183</v>
      </c>
      <c r="P85" s="92" t="s">
        <v>184</v>
      </c>
      <c r="Q85" s="92" t="s">
        <v>185</v>
      </c>
      <c r="R85" s="92" t="s">
        <v>186</v>
      </c>
      <c r="S85" s="92" t="s">
        <v>187</v>
      </c>
      <c r="T85" s="92" t="s">
        <v>188</v>
      </c>
      <c r="U85" s="92" t="s">
        <v>189</v>
      </c>
      <c r="V85" s="92" t="s">
        <v>190</v>
      </c>
    </row>
    <row r="86" spans="2:22" ht="27">
      <c r="B86" s="155"/>
      <c r="C86" s="157"/>
      <c r="E86" s="92" t="s">
        <v>80</v>
      </c>
      <c r="F86" s="92" t="s">
        <v>81</v>
      </c>
      <c r="G86" s="92" t="s">
        <v>82</v>
      </c>
      <c r="H86" s="92" t="s">
        <v>83</v>
      </c>
      <c r="I86" s="92" t="s">
        <v>84</v>
      </c>
      <c r="J86" s="92" t="s">
        <v>126</v>
      </c>
      <c r="K86" s="92" t="s">
        <v>191</v>
      </c>
      <c r="L86" s="92" t="s">
        <v>192</v>
      </c>
      <c r="M86" s="92" t="s">
        <v>127</v>
      </c>
      <c r="N86" s="92" t="s">
        <v>193</v>
      </c>
      <c r="O86" s="92" t="s">
        <v>194</v>
      </c>
      <c r="P86" s="92" t="s">
        <v>195</v>
      </c>
      <c r="Q86" s="92" t="s">
        <v>196</v>
      </c>
      <c r="R86" s="92" t="s">
        <v>197</v>
      </c>
      <c r="S86" s="92" t="s">
        <v>198</v>
      </c>
      <c r="T86" s="92" t="s">
        <v>199</v>
      </c>
      <c r="U86" s="92" t="s">
        <v>200</v>
      </c>
      <c r="V86" s="92" t="s">
        <v>201</v>
      </c>
    </row>
    <row r="87" spans="2:22">
      <c r="B87" s="170" t="s">
        <v>604</v>
      </c>
      <c r="C87" s="79"/>
      <c r="E87" s="96" t="s">
        <v>63</v>
      </c>
      <c r="F87" s="96" t="s">
        <v>63</v>
      </c>
      <c r="G87" s="88">
        <v>46366.183298611111</v>
      </c>
      <c r="H87" s="88">
        <v>46366.485381944447</v>
      </c>
      <c r="I87" s="96" t="s">
        <v>147</v>
      </c>
      <c r="J87" s="98">
        <v>46029</v>
      </c>
      <c r="K87" s="96" t="s">
        <v>221</v>
      </c>
      <c r="L87" s="96" t="s">
        <v>232</v>
      </c>
      <c r="M87" s="96" t="s">
        <v>160</v>
      </c>
      <c r="N87" s="96" t="s">
        <v>167</v>
      </c>
      <c r="O87" s="96" t="s">
        <v>229</v>
      </c>
      <c r="P87" s="96" t="s">
        <v>205</v>
      </c>
      <c r="Q87" s="96" t="s">
        <v>206</v>
      </c>
      <c r="R87" s="96" t="s">
        <v>207</v>
      </c>
      <c r="S87" s="96" t="s">
        <v>244</v>
      </c>
      <c r="T87" s="96" t="s">
        <v>208</v>
      </c>
      <c r="U87" s="96" t="s">
        <v>209</v>
      </c>
      <c r="V87" s="96" t="s">
        <v>210</v>
      </c>
    </row>
    <row r="88" spans="2:22">
      <c r="B88" s="170" t="s">
        <v>604</v>
      </c>
      <c r="C88" s="79"/>
      <c r="E88" s="96" t="s">
        <v>63</v>
      </c>
      <c r="F88" s="96" t="s">
        <v>63</v>
      </c>
      <c r="G88" s="88">
        <v>46366.183298611111</v>
      </c>
      <c r="H88" s="88">
        <v>46366.485381944447</v>
      </c>
      <c r="I88" s="96" t="s">
        <v>147</v>
      </c>
      <c r="J88" s="98">
        <v>46029</v>
      </c>
      <c r="K88" s="96" t="s">
        <v>221</v>
      </c>
      <c r="L88" s="96" t="s">
        <v>232</v>
      </c>
      <c r="M88" s="96" t="s">
        <v>160</v>
      </c>
      <c r="N88" s="96" t="s">
        <v>167</v>
      </c>
      <c r="O88" s="96" t="s">
        <v>229</v>
      </c>
      <c r="P88" s="96" t="s">
        <v>235</v>
      </c>
      <c r="Q88" s="96" t="s">
        <v>206</v>
      </c>
      <c r="R88" s="96" t="s">
        <v>207</v>
      </c>
      <c r="S88" s="96" t="s">
        <v>244</v>
      </c>
      <c r="T88" s="96" t="s">
        <v>208</v>
      </c>
      <c r="U88" s="96" t="s">
        <v>209</v>
      </c>
      <c r="V88" s="96" t="s">
        <v>210</v>
      </c>
    </row>
    <row r="89" spans="2:22" ht="40.5">
      <c r="B89" s="76" t="s">
        <v>245</v>
      </c>
      <c r="C89" s="80"/>
      <c r="E89" s="94" t="s">
        <v>65</v>
      </c>
      <c r="F89" s="96" t="s">
        <v>63</v>
      </c>
      <c r="G89" s="88">
        <v>46366.183298611111</v>
      </c>
      <c r="H89" s="88">
        <v>46366.485381944447</v>
      </c>
      <c r="I89" s="96" t="s">
        <v>147</v>
      </c>
      <c r="J89" s="98">
        <v>46026</v>
      </c>
      <c r="K89" s="96" t="s">
        <v>221</v>
      </c>
      <c r="L89" s="96" t="s">
        <v>232</v>
      </c>
      <c r="M89" s="93" t="s">
        <v>154</v>
      </c>
      <c r="N89" s="96" t="s">
        <v>167</v>
      </c>
      <c r="O89" s="96" t="s">
        <v>229</v>
      </c>
      <c r="P89" s="96" t="s">
        <v>205</v>
      </c>
      <c r="Q89" s="96" t="s">
        <v>206</v>
      </c>
      <c r="R89" s="96" t="s">
        <v>207</v>
      </c>
      <c r="S89" s="96" t="s">
        <v>244</v>
      </c>
      <c r="T89" s="96" t="s">
        <v>208</v>
      </c>
      <c r="U89" s="96" t="s">
        <v>209</v>
      </c>
      <c r="V89" s="96" t="s">
        <v>210</v>
      </c>
    </row>
    <row r="93" spans="2:22">
      <c r="D93" s="75" t="s">
        <v>67</v>
      </c>
    </row>
    <row r="94" spans="2:22">
      <c r="D94" s="64" t="s">
        <v>66</v>
      </c>
    </row>
    <row r="95" spans="2:22" ht="27">
      <c r="B95" s="154" t="s">
        <v>44</v>
      </c>
      <c r="C95" s="156" t="s">
        <v>72</v>
      </c>
      <c r="E95" s="92" t="s">
        <v>246</v>
      </c>
      <c r="F95" s="92" t="s">
        <v>247</v>
      </c>
      <c r="G95" s="92" t="s">
        <v>248</v>
      </c>
      <c r="H95" s="92" t="s">
        <v>249</v>
      </c>
      <c r="I95" s="92" t="s">
        <v>250</v>
      </c>
      <c r="J95" s="92" t="s">
        <v>251</v>
      </c>
      <c r="K95" s="92" t="s">
        <v>252</v>
      </c>
      <c r="L95" s="92" t="s">
        <v>253</v>
      </c>
      <c r="M95" s="92" t="s">
        <v>254</v>
      </c>
      <c r="N95" s="92" t="s">
        <v>255</v>
      </c>
      <c r="O95" s="92" t="s">
        <v>256</v>
      </c>
      <c r="P95" s="92" t="s">
        <v>257</v>
      </c>
      <c r="Q95" s="92" t="s">
        <v>258</v>
      </c>
      <c r="R95" s="92" t="s">
        <v>259</v>
      </c>
      <c r="S95" s="92" t="s">
        <v>260</v>
      </c>
      <c r="T95" s="92" t="s">
        <v>261</v>
      </c>
    </row>
    <row r="96" spans="2:22">
      <c r="B96" s="179"/>
      <c r="C96" s="180"/>
      <c r="E96" s="84" t="s">
        <v>63</v>
      </c>
      <c r="F96" s="85">
        <v>0</v>
      </c>
      <c r="G96" s="88">
        <v>46128.596052361114</v>
      </c>
      <c r="H96" s="88">
        <v>46128.596052361114</v>
      </c>
      <c r="I96" s="84" t="s">
        <v>69</v>
      </c>
      <c r="J96" s="88">
        <v>46128.596052361114</v>
      </c>
      <c r="K96" s="84" t="s">
        <v>69</v>
      </c>
      <c r="L96" s="88">
        <v>46128.596052361114</v>
      </c>
      <c r="M96" s="84" t="s">
        <v>69</v>
      </c>
      <c r="N96" s="89" t="s">
        <v>534</v>
      </c>
      <c r="O96" s="89">
        <v>1</v>
      </c>
      <c r="P96" s="90">
        <v>20251001</v>
      </c>
      <c r="Q96" s="90">
        <v>20261231</v>
      </c>
      <c r="R96" s="84" t="s">
        <v>535</v>
      </c>
      <c r="S96" s="84" t="s">
        <v>70</v>
      </c>
      <c r="T96" s="84" t="s">
        <v>262</v>
      </c>
    </row>
    <row r="97" spans="2:20">
      <c r="B97" s="99"/>
      <c r="C97" s="99"/>
      <c r="E97" s="84" t="s">
        <v>63</v>
      </c>
      <c r="F97" s="85">
        <v>0</v>
      </c>
      <c r="G97" s="88">
        <v>46128.596052361114</v>
      </c>
      <c r="H97" s="88">
        <v>46128.596052361114</v>
      </c>
      <c r="I97" s="84" t="s">
        <v>69</v>
      </c>
      <c r="J97" s="88">
        <v>46128.596052361114</v>
      </c>
      <c r="K97" s="84" t="s">
        <v>69</v>
      </c>
      <c r="L97" s="88">
        <v>46128.596052361114</v>
      </c>
      <c r="M97" s="84" t="s">
        <v>69</v>
      </c>
      <c r="N97" s="89" t="s">
        <v>534</v>
      </c>
      <c r="O97" s="89">
        <v>2</v>
      </c>
      <c r="P97" s="90">
        <v>20251001</v>
      </c>
      <c r="Q97" s="90">
        <v>20261231</v>
      </c>
      <c r="R97" s="84" t="s">
        <v>536</v>
      </c>
      <c r="S97" s="84" t="s">
        <v>71</v>
      </c>
      <c r="T97" s="84" t="s">
        <v>263</v>
      </c>
    </row>
    <row r="98" spans="2:20">
      <c r="B98" s="99"/>
      <c r="C98" s="99"/>
      <c r="E98" s="84" t="s">
        <v>63</v>
      </c>
      <c r="F98" s="85">
        <v>0</v>
      </c>
      <c r="G98" s="88">
        <v>46128.596052361114</v>
      </c>
      <c r="H98" s="88">
        <v>46128.596052361114</v>
      </c>
      <c r="I98" s="84" t="s">
        <v>69</v>
      </c>
      <c r="J98" s="88">
        <v>46128.596052361114</v>
      </c>
      <c r="K98" s="84" t="s">
        <v>69</v>
      </c>
      <c r="L98" s="88">
        <v>46128.596052361114</v>
      </c>
      <c r="M98" s="84" t="s">
        <v>69</v>
      </c>
      <c r="N98" s="89" t="s">
        <v>534</v>
      </c>
      <c r="O98" s="86">
        <v>3</v>
      </c>
      <c r="P98" s="87">
        <v>20260101</v>
      </c>
      <c r="Q98" s="87">
        <v>20260131</v>
      </c>
      <c r="R98" s="84" t="s">
        <v>537</v>
      </c>
      <c r="S98" s="84" t="s">
        <v>73</v>
      </c>
      <c r="T98" s="84" t="s">
        <v>264</v>
      </c>
    </row>
    <row r="99" spans="2:20">
      <c r="B99" s="99"/>
      <c r="C99" s="99"/>
      <c r="E99" s="84" t="s">
        <v>63</v>
      </c>
      <c r="F99" s="85">
        <v>0</v>
      </c>
      <c r="G99" s="88">
        <v>46128.596052361114</v>
      </c>
      <c r="H99" s="88">
        <v>46128.596052361114</v>
      </c>
      <c r="I99" s="84" t="s">
        <v>69</v>
      </c>
      <c r="J99" s="88">
        <v>46128.596052361114</v>
      </c>
      <c r="K99" s="84" t="s">
        <v>69</v>
      </c>
      <c r="L99" s="88">
        <v>46128.596052361114</v>
      </c>
      <c r="M99" s="84" t="s">
        <v>69</v>
      </c>
      <c r="N99" s="89" t="s">
        <v>534</v>
      </c>
      <c r="O99" s="89">
        <v>4</v>
      </c>
      <c r="P99" s="90">
        <v>20251001</v>
      </c>
      <c r="Q99" s="90">
        <v>20261231</v>
      </c>
      <c r="R99" s="84" t="s">
        <v>538</v>
      </c>
      <c r="S99" s="84" t="s">
        <v>265</v>
      </c>
      <c r="T99" s="84" t="s">
        <v>266</v>
      </c>
    </row>
    <row r="100" spans="2:20">
      <c r="B100" s="99"/>
      <c r="C100" s="99"/>
      <c r="E100" s="84" t="s">
        <v>63</v>
      </c>
      <c r="F100" s="85">
        <v>0</v>
      </c>
      <c r="G100" s="88">
        <v>46128.596052361114</v>
      </c>
      <c r="H100" s="88">
        <v>46128.596052361114</v>
      </c>
      <c r="I100" s="84" t="s">
        <v>69</v>
      </c>
      <c r="J100" s="88">
        <v>46128.596052361114</v>
      </c>
      <c r="K100" s="84" t="s">
        <v>69</v>
      </c>
      <c r="L100" s="88">
        <v>46128.596052361114</v>
      </c>
      <c r="M100" s="84" t="s">
        <v>69</v>
      </c>
      <c r="N100" s="89" t="s">
        <v>534</v>
      </c>
      <c r="O100" s="89">
        <v>5</v>
      </c>
      <c r="P100" s="90">
        <v>20251001</v>
      </c>
      <c r="Q100" s="90">
        <v>20261231</v>
      </c>
      <c r="R100" s="84" t="s">
        <v>539</v>
      </c>
      <c r="S100" s="84" t="s">
        <v>70</v>
      </c>
      <c r="T100" s="84" t="s">
        <v>262</v>
      </c>
    </row>
    <row r="101" spans="2:20">
      <c r="B101" s="99"/>
      <c r="C101" s="99"/>
      <c r="E101" s="84" t="s">
        <v>63</v>
      </c>
      <c r="F101" s="85">
        <v>0</v>
      </c>
      <c r="G101" s="88">
        <v>46128.596052361114</v>
      </c>
      <c r="H101" s="88">
        <v>46128.596052361114</v>
      </c>
      <c r="I101" s="84" t="s">
        <v>69</v>
      </c>
      <c r="J101" s="88">
        <v>46128.596052361114</v>
      </c>
      <c r="K101" s="84" t="s">
        <v>69</v>
      </c>
      <c r="L101" s="88">
        <v>46128.596052361114</v>
      </c>
      <c r="M101" s="84" t="s">
        <v>69</v>
      </c>
      <c r="N101" s="89" t="s">
        <v>534</v>
      </c>
      <c r="O101" s="86">
        <v>3</v>
      </c>
      <c r="P101" s="87">
        <v>20260201</v>
      </c>
      <c r="Q101" s="87">
        <v>20260228</v>
      </c>
      <c r="R101" s="84" t="s">
        <v>540</v>
      </c>
      <c r="S101" s="84" t="s">
        <v>73</v>
      </c>
      <c r="T101" s="84" t="s">
        <v>264</v>
      </c>
    </row>
    <row r="102" spans="2:20" ht="40.5">
      <c r="B102" s="181" t="s">
        <v>174</v>
      </c>
      <c r="C102" s="99"/>
      <c r="E102" s="162" t="s">
        <v>65</v>
      </c>
      <c r="F102" s="85">
        <v>0</v>
      </c>
      <c r="G102" s="88">
        <v>46128.596052361114</v>
      </c>
      <c r="H102" s="88">
        <v>46128.596052361114</v>
      </c>
      <c r="I102" s="84" t="s">
        <v>69</v>
      </c>
      <c r="J102" s="88">
        <v>46128.596052361114</v>
      </c>
      <c r="K102" s="84" t="s">
        <v>69</v>
      </c>
      <c r="L102" s="88">
        <v>46128.596052361114</v>
      </c>
      <c r="M102" s="84" t="s">
        <v>69</v>
      </c>
      <c r="N102" s="89" t="s">
        <v>534</v>
      </c>
      <c r="O102" s="86">
        <v>3</v>
      </c>
      <c r="P102" s="87">
        <v>20260102</v>
      </c>
      <c r="Q102" s="87">
        <v>20260131</v>
      </c>
      <c r="R102" s="84" t="s">
        <v>541</v>
      </c>
      <c r="S102" s="84" t="s">
        <v>73</v>
      </c>
      <c r="T102" s="84" t="s">
        <v>264</v>
      </c>
    </row>
    <row r="103" spans="2:20">
      <c r="B103" s="99"/>
      <c r="C103" s="99"/>
      <c r="E103" s="84" t="s">
        <v>63</v>
      </c>
      <c r="F103" s="85">
        <v>0</v>
      </c>
      <c r="G103" s="88">
        <v>46128.596052361114</v>
      </c>
      <c r="H103" s="88">
        <v>46128.596052361114</v>
      </c>
      <c r="I103" s="84" t="s">
        <v>69</v>
      </c>
      <c r="J103" s="88">
        <v>46128.596052361114</v>
      </c>
      <c r="K103" s="84" t="s">
        <v>69</v>
      </c>
      <c r="L103" s="88">
        <v>46128.596052361114</v>
      </c>
      <c r="M103" s="84" t="s">
        <v>69</v>
      </c>
      <c r="N103" s="163" t="s">
        <v>542</v>
      </c>
      <c r="O103" s="89">
        <v>1</v>
      </c>
      <c r="P103" s="90">
        <v>20251001</v>
      </c>
      <c r="Q103" s="90">
        <v>20261231</v>
      </c>
      <c r="R103" s="163" t="s">
        <v>514</v>
      </c>
      <c r="S103" s="84" t="s">
        <v>70</v>
      </c>
      <c r="T103" s="84" t="s">
        <v>262</v>
      </c>
    </row>
    <row r="104" spans="2:20">
      <c r="B104" s="99"/>
      <c r="C104" s="99"/>
      <c r="E104" s="84" t="s">
        <v>63</v>
      </c>
      <c r="F104" s="85">
        <v>0</v>
      </c>
      <c r="G104" s="88">
        <v>46128.596052361114</v>
      </c>
      <c r="H104" s="88">
        <v>46128.596052361114</v>
      </c>
      <c r="I104" s="84" t="s">
        <v>69</v>
      </c>
      <c r="J104" s="88">
        <v>46128.596052361114</v>
      </c>
      <c r="K104" s="84" t="s">
        <v>69</v>
      </c>
      <c r="L104" s="88">
        <v>46128.596052361114</v>
      </c>
      <c r="M104" s="84" t="s">
        <v>69</v>
      </c>
      <c r="N104" s="163" t="s">
        <v>542</v>
      </c>
      <c r="O104" s="89">
        <v>2</v>
      </c>
      <c r="P104" s="90">
        <v>20251001</v>
      </c>
      <c r="Q104" s="90">
        <v>20261231</v>
      </c>
      <c r="R104" s="163" t="s">
        <v>515</v>
      </c>
      <c r="S104" s="84" t="s">
        <v>71</v>
      </c>
      <c r="T104" s="84" t="s">
        <v>263</v>
      </c>
    </row>
    <row r="105" spans="2:20">
      <c r="B105" s="99"/>
      <c r="C105" s="99"/>
      <c r="E105" s="84" t="s">
        <v>63</v>
      </c>
      <c r="F105" s="85">
        <v>0</v>
      </c>
      <c r="G105" s="88">
        <v>46128.596052361114</v>
      </c>
      <c r="H105" s="88">
        <v>46128.596052361114</v>
      </c>
      <c r="I105" s="84" t="s">
        <v>69</v>
      </c>
      <c r="J105" s="88">
        <v>46128.596052361114</v>
      </c>
      <c r="K105" s="84" t="s">
        <v>69</v>
      </c>
      <c r="L105" s="88">
        <v>46128.596052361114</v>
      </c>
      <c r="M105" s="84" t="s">
        <v>69</v>
      </c>
      <c r="N105" s="163" t="s">
        <v>542</v>
      </c>
      <c r="O105" s="86">
        <v>3</v>
      </c>
      <c r="P105" s="87">
        <v>20260101</v>
      </c>
      <c r="Q105" s="87">
        <v>20260131</v>
      </c>
      <c r="R105" s="163" t="s">
        <v>543</v>
      </c>
      <c r="S105" s="84" t="s">
        <v>73</v>
      </c>
      <c r="T105" s="84" t="s">
        <v>264</v>
      </c>
    </row>
    <row r="106" spans="2:20">
      <c r="B106" s="99"/>
      <c r="C106" s="99"/>
      <c r="E106" s="84" t="s">
        <v>63</v>
      </c>
      <c r="F106" s="85">
        <v>0</v>
      </c>
      <c r="G106" s="88">
        <v>46128.596052361114</v>
      </c>
      <c r="H106" s="88">
        <v>46128.596052361114</v>
      </c>
      <c r="I106" s="84" t="s">
        <v>69</v>
      </c>
      <c r="J106" s="88">
        <v>46128.596052361114</v>
      </c>
      <c r="K106" s="84" t="s">
        <v>69</v>
      </c>
      <c r="L106" s="88">
        <v>46128.596052361114</v>
      </c>
      <c r="M106" s="84" t="s">
        <v>69</v>
      </c>
      <c r="N106" s="163" t="s">
        <v>542</v>
      </c>
      <c r="O106" s="89">
        <v>4</v>
      </c>
      <c r="P106" s="90">
        <v>20251001</v>
      </c>
      <c r="Q106" s="90">
        <v>20261231</v>
      </c>
      <c r="R106" s="163" t="s">
        <v>517</v>
      </c>
      <c r="S106" s="84" t="s">
        <v>265</v>
      </c>
      <c r="T106" s="84" t="s">
        <v>266</v>
      </c>
    </row>
    <row r="107" spans="2:20">
      <c r="B107" s="99"/>
      <c r="C107" s="99"/>
      <c r="E107" s="84" t="s">
        <v>63</v>
      </c>
      <c r="F107" s="85">
        <v>0</v>
      </c>
      <c r="G107" s="88">
        <v>46128.596052361114</v>
      </c>
      <c r="H107" s="88">
        <v>46128.596052361114</v>
      </c>
      <c r="I107" s="84" t="s">
        <v>69</v>
      </c>
      <c r="J107" s="88">
        <v>46128.596052361114</v>
      </c>
      <c r="K107" s="84" t="s">
        <v>69</v>
      </c>
      <c r="L107" s="88">
        <v>46128.596052361114</v>
      </c>
      <c r="M107" s="84" t="s">
        <v>69</v>
      </c>
      <c r="N107" s="163" t="s">
        <v>542</v>
      </c>
      <c r="O107" s="89">
        <v>5</v>
      </c>
      <c r="P107" s="90">
        <v>20251001</v>
      </c>
      <c r="Q107" s="90">
        <v>20261231</v>
      </c>
      <c r="R107" s="163" t="s">
        <v>518</v>
      </c>
      <c r="S107" s="84" t="s">
        <v>70</v>
      </c>
      <c r="T107" s="84" t="s">
        <v>262</v>
      </c>
    </row>
    <row r="108" spans="2:20">
      <c r="B108" s="99"/>
      <c r="C108" s="99"/>
      <c r="E108" s="84" t="s">
        <v>63</v>
      </c>
      <c r="F108" s="85">
        <v>0</v>
      </c>
      <c r="G108" s="88">
        <v>46128.596052361114</v>
      </c>
      <c r="H108" s="88">
        <v>46128.596052361114</v>
      </c>
      <c r="I108" s="84" t="s">
        <v>69</v>
      </c>
      <c r="J108" s="88">
        <v>46128.596052361114</v>
      </c>
      <c r="K108" s="84" t="s">
        <v>69</v>
      </c>
      <c r="L108" s="88">
        <v>46128.596052361114</v>
      </c>
      <c r="M108" s="84" t="s">
        <v>69</v>
      </c>
      <c r="N108" s="163" t="s">
        <v>542</v>
      </c>
      <c r="O108" s="86">
        <v>3</v>
      </c>
      <c r="P108" s="87">
        <v>20260201</v>
      </c>
      <c r="Q108" s="87">
        <v>20260228</v>
      </c>
      <c r="R108" s="163" t="s">
        <v>544</v>
      </c>
      <c r="S108" s="84" t="s">
        <v>73</v>
      </c>
      <c r="T108" s="84" t="s">
        <v>264</v>
      </c>
    </row>
    <row r="109" spans="2:20" ht="40.5">
      <c r="B109" s="181" t="s">
        <v>174</v>
      </c>
      <c r="C109" s="99"/>
      <c r="E109" s="162" t="s">
        <v>65</v>
      </c>
      <c r="F109" s="85">
        <v>0</v>
      </c>
      <c r="G109" s="88">
        <v>46128.596052361114</v>
      </c>
      <c r="H109" s="88">
        <v>46128.596052361114</v>
      </c>
      <c r="I109" s="84" t="s">
        <v>69</v>
      </c>
      <c r="J109" s="88">
        <v>46128.596052361114</v>
      </c>
      <c r="K109" s="84" t="s">
        <v>69</v>
      </c>
      <c r="L109" s="88">
        <v>46128.596052361114</v>
      </c>
      <c r="M109" s="84" t="s">
        <v>69</v>
      </c>
      <c r="N109" s="163" t="s">
        <v>542</v>
      </c>
      <c r="O109" s="86">
        <v>3</v>
      </c>
      <c r="P109" s="87">
        <v>20260102</v>
      </c>
      <c r="Q109" s="87">
        <v>20260131</v>
      </c>
      <c r="R109" s="163" t="s">
        <v>545</v>
      </c>
      <c r="S109" s="84" t="s">
        <v>73</v>
      </c>
      <c r="T109" s="84" t="s">
        <v>264</v>
      </c>
    </row>
    <row r="114" spans="2:121">
      <c r="D114" s="64" t="s">
        <v>271</v>
      </c>
    </row>
    <row r="115" spans="2:121">
      <c r="D115" s="64" t="s">
        <v>272</v>
      </c>
    </row>
    <row r="116" spans="2:121" ht="81">
      <c r="B116" s="154" t="s">
        <v>44</v>
      </c>
      <c r="C116" s="156" t="s">
        <v>72</v>
      </c>
      <c r="E116" s="92" t="s">
        <v>76</v>
      </c>
      <c r="F116" s="92" t="s">
        <v>77</v>
      </c>
      <c r="G116" s="92" t="s">
        <v>78</v>
      </c>
      <c r="H116" s="92" t="s">
        <v>79</v>
      </c>
      <c r="I116" s="92" t="s">
        <v>87</v>
      </c>
      <c r="J116" s="92" t="s">
        <v>88</v>
      </c>
      <c r="K116" s="92" t="s">
        <v>89</v>
      </c>
      <c r="L116" s="92" t="s">
        <v>90</v>
      </c>
      <c r="M116" s="92" t="s">
        <v>91</v>
      </c>
      <c r="N116" s="92" t="s">
        <v>273</v>
      </c>
      <c r="O116" s="92" t="s">
        <v>92</v>
      </c>
      <c r="P116" s="92" t="s">
        <v>93</v>
      </c>
      <c r="Q116" s="92" t="s">
        <v>274</v>
      </c>
      <c r="R116" s="92" t="s">
        <v>275</v>
      </c>
      <c r="S116" s="92" t="s">
        <v>276</v>
      </c>
      <c r="T116" s="92" t="s">
        <v>277</v>
      </c>
      <c r="U116" s="92" t="s">
        <v>278</v>
      </c>
      <c r="V116" s="92" t="s">
        <v>279</v>
      </c>
      <c r="W116" s="92" t="s">
        <v>280</v>
      </c>
      <c r="X116" s="92" t="s">
        <v>281</v>
      </c>
      <c r="Y116" s="92" t="s">
        <v>282</v>
      </c>
      <c r="Z116" s="92" t="s">
        <v>283</v>
      </c>
      <c r="AA116" s="92" t="s">
        <v>284</v>
      </c>
      <c r="AB116" s="92" t="s">
        <v>285</v>
      </c>
      <c r="AC116" s="92" t="s">
        <v>286</v>
      </c>
      <c r="AD116" s="92" t="s">
        <v>287</v>
      </c>
      <c r="AE116" s="92" t="s">
        <v>288</v>
      </c>
      <c r="AF116" s="92" t="s">
        <v>289</v>
      </c>
      <c r="AG116" s="92" t="s">
        <v>290</v>
      </c>
      <c r="AH116" s="92" t="s">
        <v>291</v>
      </c>
      <c r="AI116" s="92" t="s">
        <v>292</v>
      </c>
      <c r="AJ116" s="92" t="s">
        <v>293</v>
      </c>
      <c r="AK116" s="92" t="s">
        <v>294</v>
      </c>
      <c r="AL116" s="92" t="s">
        <v>295</v>
      </c>
      <c r="AM116" s="92" t="s">
        <v>296</v>
      </c>
      <c r="AN116" s="92" t="s">
        <v>297</v>
      </c>
      <c r="AO116" s="92" t="s">
        <v>298</v>
      </c>
      <c r="AP116" s="92" t="s">
        <v>299</v>
      </c>
      <c r="AQ116" s="92" t="s">
        <v>300</v>
      </c>
      <c r="AR116" s="92" t="s">
        <v>301</v>
      </c>
      <c r="AS116" s="92" t="s">
        <v>302</v>
      </c>
      <c r="AT116" s="92" t="s">
        <v>303</v>
      </c>
      <c r="AU116" s="92" t="s">
        <v>304</v>
      </c>
      <c r="AV116" s="92" t="s">
        <v>305</v>
      </c>
      <c r="AW116" s="92" t="s">
        <v>306</v>
      </c>
      <c r="AX116" s="92" t="s">
        <v>307</v>
      </c>
      <c r="AY116" s="92" t="s">
        <v>308</v>
      </c>
      <c r="AZ116" s="92" t="s">
        <v>309</v>
      </c>
      <c r="BA116" s="92" t="s">
        <v>310</v>
      </c>
      <c r="BB116" s="92" t="s">
        <v>311</v>
      </c>
      <c r="BC116" s="92" t="s">
        <v>312</v>
      </c>
      <c r="BD116" s="92" t="s">
        <v>313</v>
      </c>
      <c r="BE116" s="92" t="s">
        <v>314</v>
      </c>
      <c r="BF116" s="92" t="s">
        <v>315</v>
      </c>
      <c r="BG116" s="92" t="s">
        <v>316</v>
      </c>
      <c r="BH116" s="92" t="s">
        <v>317</v>
      </c>
      <c r="BI116" s="92" t="s">
        <v>318</v>
      </c>
      <c r="BJ116" s="92" t="s">
        <v>319</v>
      </c>
      <c r="BK116" s="92" t="s">
        <v>320</v>
      </c>
      <c r="BL116" s="92" t="s">
        <v>321</v>
      </c>
      <c r="BM116" s="92" t="s">
        <v>322</v>
      </c>
      <c r="BN116" s="92" t="s">
        <v>323</v>
      </c>
      <c r="BO116" s="92" t="s">
        <v>324</v>
      </c>
      <c r="BP116" s="92" t="s">
        <v>325</v>
      </c>
      <c r="BQ116" s="92" t="s">
        <v>326</v>
      </c>
      <c r="BR116" s="92" t="s">
        <v>327</v>
      </c>
      <c r="BS116" s="92" t="s">
        <v>328</v>
      </c>
      <c r="BT116" s="92" t="s">
        <v>329</v>
      </c>
      <c r="BU116" s="92" t="s">
        <v>330</v>
      </c>
      <c r="BV116" s="92" t="s">
        <v>331</v>
      </c>
      <c r="BW116" s="92" t="s">
        <v>332</v>
      </c>
      <c r="BX116" s="92" t="s">
        <v>333</v>
      </c>
      <c r="BY116" s="92" t="s">
        <v>334</v>
      </c>
      <c r="BZ116" s="92" t="s">
        <v>335</v>
      </c>
      <c r="CA116" s="92" t="s">
        <v>336</v>
      </c>
      <c r="CB116" s="92" t="s">
        <v>337</v>
      </c>
      <c r="CC116" s="92" t="s">
        <v>338</v>
      </c>
      <c r="CD116" s="92" t="s">
        <v>339</v>
      </c>
      <c r="CE116" s="92" t="s">
        <v>340</v>
      </c>
      <c r="CF116" s="92" t="s">
        <v>341</v>
      </c>
      <c r="CG116" s="92" t="s">
        <v>342</v>
      </c>
      <c r="CH116" s="92" t="s">
        <v>343</v>
      </c>
      <c r="CI116" s="92" t="s">
        <v>344</v>
      </c>
      <c r="CJ116" s="92" t="s">
        <v>345</v>
      </c>
      <c r="CK116" s="92" t="s">
        <v>346</v>
      </c>
      <c r="CL116" s="92" t="s">
        <v>347</v>
      </c>
      <c r="CM116" s="92" t="s">
        <v>348</v>
      </c>
      <c r="CN116" s="92" t="s">
        <v>349</v>
      </c>
      <c r="CO116" s="92" t="s">
        <v>350</v>
      </c>
      <c r="CP116" s="92" t="s">
        <v>351</v>
      </c>
      <c r="CQ116" s="92" t="s">
        <v>352</v>
      </c>
      <c r="CR116" s="92" t="s">
        <v>353</v>
      </c>
      <c r="CS116" s="92" t="s">
        <v>354</v>
      </c>
      <c r="CT116" s="92" t="s">
        <v>355</v>
      </c>
      <c r="CU116" s="92" t="s">
        <v>356</v>
      </c>
      <c r="CV116" s="92" t="s">
        <v>357</v>
      </c>
      <c r="CW116" s="92" t="s">
        <v>358</v>
      </c>
      <c r="CX116" s="92" t="s">
        <v>359</v>
      </c>
      <c r="CY116" s="92" t="s">
        <v>360</v>
      </c>
      <c r="CZ116" s="92" t="s">
        <v>361</v>
      </c>
      <c r="DA116" s="92" t="s">
        <v>362</v>
      </c>
      <c r="DB116" s="92" t="s">
        <v>363</v>
      </c>
      <c r="DC116" s="92" t="s">
        <v>364</v>
      </c>
      <c r="DD116" s="92" t="s">
        <v>365</v>
      </c>
      <c r="DE116" s="92" t="s">
        <v>366</v>
      </c>
      <c r="DF116" s="92" t="s">
        <v>367</v>
      </c>
      <c r="DG116" s="92" t="s">
        <v>368</v>
      </c>
      <c r="DH116" s="92" t="s">
        <v>369</v>
      </c>
      <c r="DI116" s="92" t="s">
        <v>370</v>
      </c>
      <c r="DJ116" s="92" t="s">
        <v>371</v>
      </c>
      <c r="DK116" s="92" t="s">
        <v>372</v>
      </c>
      <c r="DL116" s="92" t="s">
        <v>373</v>
      </c>
      <c r="DM116" s="92" t="s">
        <v>374</v>
      </c>
      <c r="DN116" s="92" t="s">
        <v>375</v>
      </c>
      <c r="DO116" s="92" t="s">
        <v>376</v>
      </c>
      <c r="DP116" s="92" t="s">
        <v>377</v>
      </c>
      <c r="DQ116" s="92" t="s">
        <v>378</v>
      </c>
    </row>
    <row r="117" spans="2:121" ht="81">
      <c r="B117" s="179"/>
      <c r="C117" s="180"/>
      <c r="E117" s="92" t="s">
        <v>80</v>
      </c>
      <c r="F117" s="92" t="s">
        <v>81</v>
      </c>
      <c r="G117" s="92" t="s">
        <v>82</v>
      </c>
      <c r="H117" s="92" t="s">
        <v>83</v>
      </c>
      <c r="I117" s="92" t="s">
        <v>84</v>
      </c>
      <c r="J117" s="92" t="s">
        <v>94</v>
      </c>
      <c r="K117" s="92" t="s">
        <v>95</v>
      </c>
      <c r="L117" s="92" t="s">
        <v>96</v>
      </c>
      <c r="M117" s="92" t="s">
        <v>97</v>
      </c>
      <c r="N117" s="92" t="s">
        <v>379</v>
      </c>
      <c r="O117" s="92" t="s">
        <v>85</v>
      </c>
      <c r="P117" s="92" t="s">
        <v>86</v>
      </c>
      <c r="Q117" s="92" t="s">
        <v>380</v>
      </c>
      <c r="R117" s="92" t="s">
        <v>381</v>
      </c>
      <c r="S117" s="92" t="s">
        <v>382</v>
      </c>
      <c r="T117" s="92" t="s">
        <v>383</v>
      </c>
      <c r="U117" s="92" t="s">
        <v>384</v>
      </c>
      <c r="V117" s="92" t="s">
        <v>385</v>
      </c>
      <c r="W117" s="92" t="s">
        <v>386</v>
      </c>
      <c r="X117" s="92" t="s">
        <v>387</v>
      </c>
      <c r="Y117" s="92" t="s">
        <v>388</v>
      </c>
      <c r="Z117" s="92" t="s">
        <v>389</v>
      </c>
      <c r="AA117" s="92" t="s">
        <v>390</v>
      </c>
      <c r="AB117" s="92" t="s">
        <v>391</v>
      </c>
      <c r="AC117" s="92" t="s">
        <v>392</v>
      </c>
      <c r="AD117" s="92" t="s">
        <v>393</v>
      </c>
      <c r="AE117" s="92" t="s">
        <v>394</v>
      </c>
      <c r="AF117" s="92" t="s">
        <v>395</v>
      </c>
      <c r="AG117" s="92" t="s">
        <v>396</v>
      </c>
      <c r="AH117" s="92" t="s">
        <v>397</v>
      </c>
      <c r="AI117" s="92" t="s">
        <v>398</v>
      </c>
      <c r="AJ117" s="92" t="s">
        <v>399</v>
      </c>
      <c r="AK117" s="92" t="s">
        <v>400</v>
      </c>
      <c r="AL117" s="92" t="s">
        <v>401</v>
      </c>
      <c r="AM117" s="92" t="s">
        <v>402</v>
      </c>
      <c r="AN117" s="92" t="s">
        <v>403</v>
      </c>
      <c r="AO117" s="92" t="s">
        <v>404</v>
      </c>
      <c r="AP117" s="92" t="s">
        <v>405</v>
      </c>
      <c r="AQ117" s="92" t="s">
        <v>406</v>
      </c>
      <c r="AR117" s="92" t="s">
        <v>407</v>
      </c>
      <c r="AS117" s="92" t="s">
        <v>408</v>
      </c>
      <c r="AT117" s="92" t="s">
        <v>409</v>
      </c>
      <c r="AU117" s="92" t="s">
        <v>410</v>
      </c>
      <c r="AV117" s="92" t="s">
        <v>411</v>
      </c>
      <c r="AW117" s="92" t="s">
        <v>412</v>
      </c>
      <c r="AX117" s="92" t="s">
        <v>413</v>
      </c>
      <c r="AY117" s="92" t="s">
        <v>414</v>
      </c>
      <c r="AZ117" s="92" t="s">
        <v>415</v>
      </c>
      <c r="BA117" s="92" t="s">
        <v>416</v>
      </c>
      <c r="BB117" s="92" t="s">
        <v>417</v>
      </c>
      <c r="BC117" s="92" t="s">
        <v>418</v>
      </c>
      <c r="BD117" s="92" t="s">
        <v>419</v>
      </c>
      <c r="BE117" s="92" t="s">
        <v>420</v>
      </c>
      <c r="BF117" s="92" t="s">
        <v>421</v>
      </c>
      <c r="BG117" s="92" t="s">
        <v>422</v>
      </c>
      <c r="BH117" s="92" t="s">
        <v>423</v>
      </c>
      <c r="BI117" s="92" t="s">
        <v>424</v>
      </c>
      <c r="BJ117" s="92" t="s">
        <v>425</v>
      </c>
      <c r="BK117" s="92" t="s">
        <v>426</v>
      </c>
      <c r="BL117" s="92" t="s">
        <v>427</v>
      </c>
      <c r="BM117" s="92" t="s">
        <v>428</v>
      </c>
      <c r="BN117" s="92" t="s">
        <v>429</v>
      </c>
      <c r="BO117" s="92" t="s">
        <v>430</v>
      </c>
      <c r="BP117" s="92" t="s">
        <v>431</v>
      </c>
      <c r="BQ117" s="92" t="s">
        <v>432</v>
      </c>
      <c r="BR117" s="92" t="s">
        <v>433</v>
      </c>
      <c r="BS117" s="92" t="s">
        <v>434</v>
      </c>
      <c r="BT117" s="92" t="s">
        <v>435</v>
      </c>
      <c r="BU117" s="92" t="s">
        <v>436</v>
      </c>
      <c r="BV117" s="92" t="s">
        <v>437</v>
      </c>
      <c r="BW117" s="92" t="s">
        <v>438</v>
      </c>
      <c r="BX117" s="92" t="s">
        <v>439</v>
      </c>
      <c r="BY117" s="92" t="s">
        <v>440</v>
      </c>
      <c r="BZ117" s="92" t="s">
        <v>441</v>
      </c>
      <c r="CA117" s="92" t="s">
        <v>442</v>
      </c>
      <c r="CB117" s="92" t="s">
        <v>443</v>
      </c>
      <c r="CC117" s="92" t="s">
        <v>444</v>
      </c>
      <c r="CD117" s="92" t="s">
        <v>445</v>
      </c>
      <c r="CE117" s="92" t="s">
        <v>446</v>
      </c>
      <c r="CF117" s="92" t="s">
        <v>447</v>
      </c>
      <c r="CG117" s="92" t="s">
        <v>448</v>
      </c>
      <c r="CH117" s="92" t="s">
        <v>449</v>
      </c>
      <c r="CI117" s="92" t="s">
        <v>450</v>
      </c>
      <c r="CJ117" s="92" t="s">
        <v>451</v>
      </c>
      <c r="CK117" s="92" t="s">
        <v>452</v>
      </c>
      <c r="CL117" s="92" t="s">
        <v>453</v>
      </c>
      <c r="CM117" s="92" t="s">
        <v>454</v>
      </c>
      <c r="CN117" s="92" t="s">
        <v>455</v>
      </c>
      <c r="CO117" s="92" t="s">
        <v>456</v>
      </c>
      <c r="CP117" s="92" t="s">
        <v>457</v>
      </c>
      <c r="CQ117" s="92" t="s">
        <v>458</v>
      </c>
      <c r="CR117" s="92" t="s">
        <v>459</v>
      </c>
      <c r="CS117" s="92" t="s">
        <v>460</v>
      </c>
      <c r="CT117" s="92" t="s">
        <v>461</v>
      </c>
      <c r="CU117" s="92" t="s">
        <v>462</v>
      </c>
      <c r="CV117" s="92" t="s">
        <v>463</v>
      </c>
      <c r="CW117" s="92" t="s">
        <v>464</v>
      </c>
      <c r="CX117" s="92" t="s">
        <v>465</v>
      </c>
      <c r="CY117" s="92" t="s">
        <v>466</v>
      </c>
      <c r="CZ117" s="92" t="s">
        <v>467</v>
      </c>
      <c r="DA117" s="92" t="s">
        <v>468</v>
      </c>
      <c r="DB117" s="92" t="s">
        <v>469</v>
      </c>
      <c r="DC117" s="92" t="s">
        <v>470</v>
      </c>
      <c r="DD117" s="92" t="s">
        <v>471</v>
      </c>
      <c r="DE117" s="92" t="s">
        <v>472</v>
      </c>
      <c r="DF117" s="92" t="s">
        <v>473</v>
      </c>
      <c r="DG117" s="92" t="s">
        <v>474</v>
      </c>
      <c r="DH117" s="92" t="s">
        <v>475</v>
      </c>
      <c r="DI117" s="92" t="s">
        <v>476</v>
      </c>
      <c r="DJ117" s="92" t="s">
        <v>477</v>
      </c>
      <c r="DK117" s="92" t="s">
        <v>478</v>
      </c>
      <c r="DL117" s="92" t="s">
        <v>479</v>
      </c>
      <c r="DM117" s="92" t="s">
        <v>480</v>
      </c>
      <c r="DN117" s="92" t="s">
        <v>481</v>
      </c>
      <c r="DO117" s="92" t="s">
        <v>482</v>
      </c>
      <c r="DP117" s="92" t="s">
        <v>483</v>
      </c>
      <c r="DQ117" s="92" t="s">
        <v>484</v>
      </c>
    </row>
    <row r="118" spans="2:121">
      <c r="B118" s="99"/>
      <c r="C118" s="99"/>
      <c r="E118" s="96" t="s">
        <v>63</v>
      </c>
      <c r="F118" s="96" t="s">
        <v>546</v>
      </c>
      <c r="G118" s="96" t="s">
        <v>485</v>
      </c>
      <c r="H118" s="96" t="s">
        <v>486</v>
      </c>
      <c r="I118" s="96" t="s">
        <v>146</v>
      </c>
      <c r="J118" s="96" t="s">
        <v>487</v>
      </c>
      <c r="K118" s="96" t="s">
        <v>146</v>
      </c>
      <c r="L118" s="96"/>
      <c r="M118" s="96" t="s">
        <v>146</v>
      </c>
      <c r="N118" s="84" t="s">
        <v>146</v>
      </c>
      <c r="O118" s="96" t="s">
        <v>547</v>
      </c>
      <c r="P118" s="96" t="s">
        <v>548</v>
      </c>
      <c r="Q118" s="96" t="s">
        <v>146</v>
      </c>
      <c r="R118" s="96" t="s">
        <v>488</v>
      </c>
      <c r="S118" s="96" t="s">
        <v>489</v>
      </c>
      <c r="T118" s="96" t="s">
        <v>549</v>
      </c>
      <c r="U118" s="96"/>
      <c r="V118" s="96"/>
      <c r="W118" s="96"/>
      <c r="X118" s="96"/>
      <c r="Y118" s="96"/>
      <c r="Z118" s="96"/>
      <c r="AA118" s="96" t="s">
        <v>65</v>
      </c>
      <c r="AB118" s="96" t="s">
        <v>63</v>
      </c>
      <c r="AC118" s="96" t="s">
        <v>63</v>
      </c>
      <c r="AD118" s="96"/>
      <c r="AE118" s="96" t="s">
        <v>63</v>
      </c>
      <c r="AF118" s="96" t="s">
        <v>64</v>
      </c>
      <c r="AG118" s="96" t="s">
        <v>154</v>
      </c>
      <c r="AH118" s="96" t="s">
        <v>490</v>
      </c>
      <c r="AI118" s="96"/>
      <c r="AJ118" s="96"/>
      <c r="AK118" s="96"/>
      <c r="AL118" s="96"/>
      <c r="AM118" s="96"/>
      <c r="AN118" s="96"/>
      <c r="AO118" s="96"/>
      <c r="AP118" s="96"/>
      <c r="AQ118" s="96"/>
      <c r="AR118" s="96"/>
      <c r="AS118" s="96"/>
      <c r="AT118" s="96"/>
      <c r="AU118" s="96"/>
      <c r="AV118" s="96"/>
      <c r="AW118" s="96"/>
      <c r="AX118" s="96"/>
      <c r="AY118" s="96"/>
      <c r="AZ118" s="96"/>
      <c r="BA118" s="96"/>
      <c r="BB118" s="96"/>
      <c r="BC118" s="96"/>
      <c r="BD118" s="96"/>
      <c r="BE118" s="96"/>
      <c r="BF118" s="96"/>
      <c r="BG118" s="96"/>
      <c r="BH118" s="96"/>
      <c r="BI118" s="96"/>
      <c r="BJ118" s="96"/>
      <c r="BK118" s="96"/>
      <c r="BL118" s="96"/>
      <c r="BM118" s="96"/>
      <c r="BN118" s="96"/>
      <c r="BO118" s="96"/>
      <c r="BP118" s="96"/>
      <c r="BQ118" s="96"/>
      <c r="BR118" s="96" t="s">
        <v>65</v>
      </c>
      <c r="BS118" s="96"/>
      <c r="BT118" s="96"/>
      <c r="BU118" s="96" t="s">
        <v>63</v>
      </c>
      <c r="BV118" s="96"/>
      <c r="BW118" s="96"/>
      <c r="BX118" s="96"/>
      <c r="BY118" s="96"/>
      <c r="BZ118" s="96"/>
      <c r="CA118" s="96"/>
      <c r="CB118" s="96"/>
      <c r="CC118" s="96"/>
      <c r="CD118" s="96"/>
      <c r="CE118" s="96"/>
      <c r="CF118" s="96"/>
      <c r="CG118" s="96"/>
      <c r="CH118" s="96"/>
      <c r="CI118" s="96"/>
      <c r="CJ118" s="96"/>
      <c r="CK118" s="96"/>
      <c r="CL118" s="96"/>
      <c r="CM118" s="96"/>
      <c r="CN118" s="96"/>
      <c r="CO118" s="96"/>
      <c r="CP118" s="96"/>
      <c r="CQ118" s="96"/>
      <c r="CR118" s="96"/>
      <c r="CS118" s="96"/>
      <c r="CT118" s="96"/>
      <c r="CU118" s="96"/>
      <c r="CV118" s="96"/>
      <c r="CW118" s="96"/>
      <c r="CX118" s="96"/>
      <c r="CY118" s="96"/>
      <c r="CZ118" s="96"/>
      <c r="DA118" s="96"/>
      <c r="DB118" s="96"/>
      <c r="DC118" s="96"/>
      <c r="DD118" s="96"/>
      <c r="DE118" s="96"/>
      <c r="DF118" s="96"/>
      <c r="DG118" s="96"/>
      <c r="DH118" s="96"/>
      <c r="DI118" s="96"/>
      <c r="DJ118" s="96"/>
      <c r="DK118" s="96"/>
      <c r="DL118" s="96" t="s">
        <v>491</v>
      </c>
      <c r="DM118" s="96" t="s">
        <v>63</v>
      </c>
      <c r="DN118" s="96"/>
      <c r="DO118" s="96"/>
      <c r="DP118" s="96"/>
      <c r="DQ118" s="96"/>
    </row>
    <row r="119" spans="2:121">
      <c r="B119" s="99"/>
      <c r="C119" s="99"/>
      <c r="E119" s="96" t="s">
        <v>63</v>
      </c>
      <c r="F119" s="96" t="s">
        <v>546</v>
      </c>
      <c r="G119" s="96" t="s">
        <v>492</v>
      </c>
      <c r="H119" s="96" t="s">
        <v>493</v>
      </c>
      <c r="I119" s="96" t="s">
        <v>148</v>
      </c>
      <c r="J119" s="96" t="s">
        <v>487</v>
      </c>
      <c r="K119" s="96" t="s">
        <v>148</v>
      </c>
      <c r="L119" s="96"/>
      <c r="M119" s="96" t="s">
        <v>148</v>
      </c>
      <c r="N119" s="84" t="s">
        <v>144</v>
      </c>
      <c r="O119" s="96" t="s">
        <v>547</v>
      </c>
      <c r="P119" s="96" t="s">
        <v>548</v>
      </c>
      <c r="Q119" s="96" t="s">
        <v>148</v>
      </c>
      <c r="R119" s="96" t="s">
        <v>494</v>
      </c>
      <c r="S119" s="96" t="s">
        <v>495</v>
      </c>
      <c r="T119" s="96" t="s">
        <v>550</v>
      </c>
      <c r="U119" s="96"/>
      <c r="V119" s="96"/>
      <c r="W119" s="96"/>
      <c r="X119" s="96"/>
      <c r="Y119" s="96"/>
      <c r="Z119" s="96"/>
      <c r="AA119" s="96" t="s">
        <v>65</v>
      </c>
      <c r="AB119" s="96" t="s">
        <v>63</v>
      </c>
      <c r="AC119" s="96" t="s">
        <v>63</v>
      </c>
      <c r="AD119" s="96"/>
      <c r="AE119" s="96" t="s">
        <v>63</v>
      </c>
      <c r="AF119" s="96" t="s">
        <v>64</v>
      </c>
      <c r="AG119" s="96" t="s">
        <v>157</v>
      </c>
      <c r="AH119" s="96" t="s">
        <v>490</v>
      </c>
      <c r="AI119" s="96"/>
      <c r="AJ119" s="96"/>
      <c r="AK119" s="96"/>
      <c r="AL119" s="96"/>
      <c r="AM119" s="96"/>
      <c r="AN119" s="96"/>
      <c r="AO119" s="96"/>
      <c r="AP119" s="96"/>
      <c r="AQ119" s="96"/>
      <c r="AR119" s="96"/>
      <c r="AS119" s="96"/>
      <c r="AT119" s="96"/>
      <c r="AU119" s="96"/>
      <c r="AV119" s="96"/>
      <c r="AW119" s="96"/>
      <c r="AX119" s="96"/>
      <c r="AY119" s="96"/>
      <c r="AZ119" s="96"/>
      <c r="BA119" s="96"/>
      <c r="BB119" s="96"/>
      <c r="BC119" s="96"/>
      <c r="BD119" s="96"/>
      <c r="BE119" s="96"/>
      <c r="BF119" s="96"/>
      <c r="BG119" s="96"/>
      <c r="BH119" s="96"/>
      <c r="BI119" s="96"/>
      <c r="BJ119" s="96"/>
      <c r="BK119" s="96"/>
      <c r="BL119" s="96"/>
      <c r="BM119" s="96"/>
      <c r="BN119" s="96"/>
      <c r="BO119" s="96"/>
      <c r="BP119" s="96"/>
      <c r="BQ119" s="96"/>
      <c r="BR119" s="96" t="s">
        <v>65</v>
      </c>
      <c r="BS119" s="96"/>
      <c r="BT119" s="96"/>
      <c r="BU119" s="96" t="s">
        <v>63</v>
      </c>
      <c r="BV119" s="96"/>
      <c r="BW119" s="96"/>
      <c r="BX119" s="96"/>
      <c r="BY119" s="96"/>
      <c r="BZ119" s="96"/>
      <c r="CA119" s="96"/>
      <c r="CB119" s="96"/>
      <c r="CC119" s="96"/>
      <c r="CD119" s="96"/>
      <c r="CE119" s="96"/>
      <c r="CF119" s="96"/>
      <c r="CG119" s="96"/>
      <c r="CH119" s="96"/>
      <c r="CI119" s="96"/>
      <c r="CJ119" s="96"/>
      <c r="CK119" s="96"/>
      <c r="CL119" s="96"/>
      <c r="CM119" s="96"/>
      <c r="CN119" s="96"/>
      <c r="CO119" s="96"/>
      <c r="CP119" s="96"/>
      <c r="CQ119" s="96"/>
      <c r="CR119" s="96"/>
      <c r="CS119" s="96"/>
      <c r="CT119" s="96"/>
      <c r="CU119" s="96"/>
      <c r="CV119" s="96"/>
      <c r="CW119" s="96"/>
      <c r="CX119" s="96"/>
      <c r="CY119" s="96"/>
      <c r="CZ119" s="96"/>
      <c r="DA119" s="96"/>
      <c r="DB119" s="96"/>
      <c r="DC119" s="96"/>
      <c r="DD119" s="96"/>
      <c r="DE119" s="96"/>
      <c r="DF119" s="96"/>
      <c r="DG119" s="96"/>
      <c r="DH119" s="96"/>
      <c r="DI119" s="96"/>
      <c r="DJ119" s="96"/>
      <c r="DK119" s="96"/>
      <c r="DL119" s="96" t="s">
        <v>497</v>
      </c>
      <c r="DM119" s="96" t="s">
        <v>63</v>
      </c>
      <c r="DN119" s="96"/>
      <c r="DO119" s="96"/>
      <c r="DP119" s="96"/>
      <c r="DQ119" s="96"/>
    </row>
    <row r="120" spans="2:121">
      <c r="B120" s="99"/>
      <c r="C120" s="99"/>
      <c r="E120" s="96" t="s">
        <v>63</v>
      </c>
      <c r="F120" s="96" t="s">
        <v>546</v>
      </c>
      <c r="G120" s="96" t="s">
        <v>498</v>
      </c>
      <c r="H120" s="96" t="s">
        <v>499</v>
      </c>
      <c r="I120" s="96" t="s">
        <v>147</v>
      </c>
      <c r="J120" s="96" t="s">
        <v>487</v>
      </c>
      <c r="K120" s="96" t="s">
        <v>147</v>
      </c>
      <c r="L120" s="96"/>
      <c r="M120" s="96" t="s">
        <v>147</v>
      </c>
      <c r="N120" s="84" t="s">
        <v>147</v>
      </c>
      <c r="O120" s="96" t="s">
        <v>547</v>
      </c>
      <c r="P120" s="96" t="s">
        <v>548</v>
      </c>
      <c r="Q120" s="96" t="s">
        <v>147</v>
      </c>
      <c r="R120" s="96" t="s">
        <v>500</v>
      </c>
      <c r="S120" s="96" t="s">
        <v>501</v>
      </c>
      <c r="T120" s="96" t="s">
        <v>551</v>
      </c>
      <c r="U120" s="96"/>
      <c r="V120" s="96"/>
      <c r="W120" s="96"/>
      <c r="X120" s="96"/>
      <c r="Y120" s="96"/>
      <c r="Z120" s="96"/>
      <c r="AA120" s="96" t="s">
        <v>65</v>
      </c>
      <c r="AB120" s="96" t="s">
        <v>63</v>
      </c>
      <c r="AC120" s="96" t="s">
        <v>63</v>
      </c>
      <c r="AD120" s="96"/>
      <c r="AE120" s="96" t="s">
        <v>63</v>
      </c>
      <c r="AF120" s="96" t="s">
        <v>64</v>
      </c>
      <c r="AG120" s="96" t="s">
        <v>64</v>
      </c>
      <c r="AH120" s="96" t="s">
        <v>490</v>
      </c>
      <c r="AI120" s="96"/>
      <c r="AJ120" s="96"/>
      <c r="AK120" s="96"/>
      <c r="AL120" s="96"/>
      <c r="AM120" s="96"/>
      <c r="AN120" s="96"/>
      <c r="AO120" s="96"/>
      <c r="AP120" s="96"/>
      <c r="AQ120" s="96"/>
      <c r="AR120" s="96"/>
      <c r="AS120" s="96"/>
      <c r="AT120" s="96"/>
      <c r="AU120" s="96"/>
      <c r="AV120" s="96"/>
      <c r="AW120" s="96"/>
      <c r="AX120" s="96"/>
      <c r="AY120" s="96"/>
      <c r="AZ120" s="96"/>
      <c r="BA120" s="96"/>
      <c r="BB120" s="96"/>
      <c r="BC120" s="96"/>
      <c r="BD120" s="96"/>
      <c r="BE120" s="96"/>
      <c r="BF120" s="96"/>
      <c r="BG120" s="96"/>
      <c r="BH120" s="96"/>
      <c r="BI120" s="96"/>
      <c r="BJ120" s="96"/>
      <c r="BK120" s="96"/>
      <c r="BL120" s="96"/>
      <c r="BM120" s="96"/>
      <c r="BN120" s="96"/>
      <c r="BO120" s="96"/>
      <c r="BP120" s="96"/>
      <c r="BQ120" s="96"/>
      <c r="BR120" s="96" t="s">
        <v>65</v>
      </c>
      <c r="BS120" s="96"/>
      <c r="BT120" s="96"/>
      <c r="BU120" s="96" t="s">
        <v>63</v>
      </c>
      <c r="BV120" s="96"/>
      <c r="BW120" s="96"/>
      <c r="BX120" s="96"/>
      <c r="BY120" s="96"/>
      <c r="BZ120" s="96"/>
      <c r="CA120" s="96"/>
      <c r="CB120" s="96"/>
      <c r="CC120" s="96"/>
      <c r="CD120" s="96"/>
      <c r="CE120" s="96"/>
      <c r="CF120" s="96"/>
      <c r="CG120" s="96"/>
      <c r="CH120" s="96"/>
      <c r="CI120" s="96"/>
      <c r="CJ120" s="96"/>
      <c r="CK120" s="96"/>
      <c r="CL120" s="96"/>
      <c r="CM120" s="96"/>
      <c r="CN120" s="96"/>
      <c r="CO120" s="96"/>
      <c r="CP120" s="96"/>
      <c r="CQ120" s="96"/>
      <c r="CR120" s="96"/>
      <c r="CS120" s="96"/>
      <c r="CT120" s="96"/>
      <c r="CU120" s="96"/>
      <c r="CV120" s="96"/>
      <c r="CW120" s="96"/>
      <c r="CX120" s="96"/>
      <c r="CY120" s="96"/>
      <c r="CZ120" s="96"/>
      <c r="DA120" s="96"/>
      <c r="DB120" s="96"/>
      <c r="DC120" s="96"/>
      <c r="DD120" s="96"/>
      <c r="DE120" s="96"/>
      <c r="DF120" s="96"/>
      <c r="DG120" s="96"/>
      <c r="DH120" s="96"/>
      <c r="DI120" s="96"/>
      <c r="DJ120" s="96"/>
      <c r="DK120" s="96"/>
      <c r="DL120" s="96" t="s">
        <v>502</v>
      </c>
      <c r="DM120" s="96" t="s">
        <v>63</v>
      </c>
      <c r="DN120" s="96"/>
      <c r="DO120" s="96"/>
      <c r="DP120" s="96"/>
      <c r="DQ120" s="96"/>
    </row>
    <row r="121" spans="2:121" ht="40.5">
      <c r="B121" s="181" t="s">
        <v>174</v>
      </c>
      <c r="C121" s="99"/>
      <c r="E121" s="164" t="s">
        <v>552</v>
      </c>
      <c r="F121" s="96" t="s">
        <v>546</v>
      </c>
      <c r="G121" s="96" t="s">
        <v>492</v>
      </c>
      <c r="H121" s="96" t="s">
        <v>493</v>
      </c>
      <c r="I121" s="96" t="s">
        <v>148</v>
      </c>
      <c r="J121" s="96" t="s">
        <v>487</v>
      </c>
      <c r="K121" s="96" t="s">
        <v>148</v>
      </c>
      <c r="L121" s="96"/>
      <c r="M121" s="96" t="s">
        <v>148</v>
      </c>
      <c r="N121" s="84" t="s">
        <v>144</v>
      </c>
      <c r="O121" s="96" t="s">
        <v>553</v>
      </c>
      <c r="P121" s="96" t="s">
        <v>548</v>
      </c>
      <c r="Q121" s="96" t="s">
        <v>148</v>
      </c>
      <c r="R121" s="96" t="s">
        <v>494</v>
      </c>
      <c r="S121" s="96" t="s">
        <v>495</v>
      </c>
      <c r="T121" s="96" t="s">
        <v>496</v>
      </c>
      <c r="U121" s="96"/>
      <c r="V121" s="96"/>
      <c r="W121" s="96"/>
      <c r="X121" s="96"/>
      <c r="Y121" s="96"/>
      <c r="Z121" s="96"/>
      <c r="AA121" s="96" t="s">
        <v>65</v>
      </c>
      <c r="AB121" s="96" t="s">
        <v>63</v>
      </c>
      <c r="AC121" s="96" t="s">
        <v>63</v>
      </c>
      <c r="AD121" s="96"/>
      <c r="AE121" s="96" t="s">
        <v>63</v>
      </c>
      <c r="AF121" s="96" t="s">
        <v>64</v>
      </c>
      <c r="AG121" s="96" t="s">
        <v>157</v>
      </c>
      <c r="AH121" s="96" t="s">
        <v>490</v>
      </c>
      <c r="AI121" s="96"/>
      <c r="AJ121" s="96"/>
      <c r="AK121" s="96"/>
      <c r="AL121" s="96"/>
      <c r="AM121" s="96"/>
      <c r="AN121" s="96"/>
      <c r="AO121" s="96"/>
      <c r="AP121" s="96"/>
      <c r="AQ121" s="96"/>
      <c r="AR121" s="96"/>
      <c r="AS121" s="96"/>
      <c r="AT121" s="96"/>
      <c r="AU121" s="96"/>
      <c r="AV121" s="96"/>
      <c r="AW121" s="96"/>
      <c r="AX121" s="96"/>
      <c r="AY121" s="96"/>
      <c r="AZ121" s="96"/>
      <c r="BA121" s="96"/>
      <c r="BB121" s="96"/>
      <c r="BC121" s="96"/>
      <c r="BD121" s="96"/>
      <c r="BE121" s="96"/>
      <c r="BF121" s="96"/>
      <c r="BG121" s="96"/>
      <c r="BH121" s="96"/>
      <c r="BI121" s="96"/>
      <c r="BJ121" s="96"/>
      <c r="BK121" s="96"/>
      <c r="BL121" s="96"/>
      <c r="BM121" s="96"/>
      <c r="BN121" s="96"/>
      <c r="BO121" s="96"/>
      <c r="BP121" s="96"/>
      <c r="BQ121" s="96"/>
      <c r="BR121" s="96" t="s">
        <v>65</v>
      </c>
      <c r="BS121" s="96"/>
      <c r="BT121" s="96"/>
      <c r="BU121" s="96" t="s">
        <v>63</v>
      </c>
      <c r="BV121" s="96"/>
      <c r="BW121" s="96"/>
      <c r="BX121" s="96"/>
      <c r="BY121" s="96"/>
      <c r="BZ121" s="96"/>
      <c r="CA121" s="96"/>
      <c r="CB121" s="96"/>
      <c r="CC121" s="96"/>
      <c r="CD121" s="96"/>
      <c r="CE121" s="96"/>
      <c r="CF121" s="96"/>
      <c r="CG121" s="96"/>
      <c r="CH121" s="96"/>
      <c r="CI121" s="96"/>
      <c r="CJ121" s="96"/>
      <c r="CK121" s="96"/>
      <c r="CL121" s="96"/>
      <c r="CM121" s="96"/>
      <c r="CN121" s="96"/>
      <c r="CO121" s="96"/>
      <c r="CP121" s="96"/>
      <c r="CQ121" s="96"/>
      <c r="CR121" s="96"/>
      <c r="CS121" s="96"/>
      <c r="CT121" s="96"/>
      <c r="CU121" s="96"/>
      <c r="CV121" s="96"/>
      <c r="CW121" s="96"/>
      <c r="CX121" s="96"/>
      <c r="CY121" s="96"/>
      <c r="CZ121" s="96"/>
      <c r="DA121" s="96"/>
      <c r="DB121" s="96"/>
      <c r="DC121" s="96"/>
      <c r="DD121" s="96"/>
      <c r="DE121" s="96"/>
      <c r="DF121" s="96"/>
      <c r="DG121" s="96"/>
      <c r="DH121" s="96"/>
      <c r="DI121" s="96"/>
      <c r="DJ121" s="96"/>
      <c r="DK121" s="96"/>
      <c r="DL121" s="96" t="s">
        <v>497</v>
      </c>
      <c r="DM121" s="96" t="s">
        <v>63</v>
      </c>
      <c r="DN121" s="96"/>
      <c r="DO121" s="96"/>
      <c r="DP121" s="96"/>
      <c r="DQ121" s="96"/>
    </row>
    <row r="122" spans="2:121">
      <c r="B122" s="99"/>
      <c r="C122" s="99"/>
      <c r="E122" s="96" t="s">
        <v>63</v>
      </c>
      <c r="F122" s="96" t="s">
        <v>546</v>
      </c>
      <c r="G122" s="96" t="s">
        <v>485</v>
      </c>
      <c r="H122" s="96" t="s">
        <v>486</v>
      </c>
      <c r="I122" s="96" t="s">
        <v>146</v>
      </c>
      <c r="J122" s="96" t="s">
        <v>487</v>
      </c>
      <c r="K122" s="96" t="s">
        <v>146</v>
      </c>
      <c r="L122" s="96"/>
      <c r="M122" s="96" t="s">
        <v>146</v>
      </c>
      <c r="N122" s="84" t="s">
        <v>146</v>
      </c>
      <c r="O122" s="96" t="s">
        <v>554</v>
      </c>
      <c r="P122" s="96" t="s">
        <v>555</v>
      </c>
      <c r="Q122" s="96" t="s">
        <v>146</v>
      </c>
      <c r="R122" s="96" t="s">
        <v>488</v>
      </c>
      <c r="S122" s="96" t="s">
        <v>489</v>
      </c>
      <c r="T122" s="96" t="s">
        <v>556</v>
      </c>
      <c r="U122" s="96"/>
      <c r="V122" s="96"/>
      <c r="W122" s="96"/>
      <c r="X122" s="96"/>
      <c r="Y122" s="96"/>
      <c r="Z122" s="96"/>
      <c r="AA122" s="96" t="s">
        <v>65</v>
      </c>
      <c r="AB122" s="96" t="s">
        <v>63</v>
      </c>
      <c r="AC122" s="96" t="s">
        <v>63</v>
      </c>
      <c r="AD122" s="96"/>
      <c r="AE122" s="96" t="s">
        <v>63</v>
      </c>
      <c r="AF122" s="96" t="s">
        <v>64</v>
      </c>
      <c r="AG122" s="96" t="s">
        <v>154</v>
      </c>
      <c r="AH122" s="96" t="s">
        <v>490</v>
      </c>
      <c r="AI122" s="96"/>
      <c r="AJ122" s="96"/>
      <c r="AK122" s="96"/>
      <c r="AL122" s="96"/>
      <c r="AM122" s="96"/>
      <c r="AN122" s="96"/>
      <c r="AO122" s="96"/>
      <c r="AP122" s="96"/>
      <c r="AQ122" s="96"/>
      <c r="AR122" s="96"/>
      <c r="AS122" s="96"/>
      <c r="AT122" s="96"/>
      <c r="AU122" s="96"/>
      <c r="AV122" s="96"/>
      <c r="AW122" s="96"/>
      <c r="AX122" s="96"/>
      <c r="AY122" s="96"/>
      <c r="AZ122" s="96"/>
      <c r="BA122" s="96"/>
      <c r="BB122" s="96"/>
      <c r="BC122" s="96"/>
      <c r="BD122" s="96"/>
      <c r="BE122" s="96"/>
      <c r="BF122" s="96"/>
      <c r="BG122" s="96"/>
      <c r="BH122" s="96"/>
      <c r="BI122" s="96"/>
      <c r="BJ122" s="96"/>
      <c r="BK122" s="96"/>
      <c r="BL122" s="96"/>
      <c r="BM122" s="96"/>
      <c r="BN122" s="96"/>
      <c r="BO122" s="96"/>
      <c r="BP122" s="96"/>
      <c r="BQ122" s="96"/>
      <c r="BR122" s="96" t="s">
        <v>65</v>
      </c>
      <c r="BS122" s="96"/>
      <c r="BT122" s="96"/>
      <c r="BU122" s="96" t="s">
        <v>63</v>
      </c>
      <c r="BV122" s="96"/>
      <c r="BW122" s="96"/>
      <c r="BX122" s="96"/>
      <c r="BY122" s="96"/>
      <c r="BZ122" s="96"/>
      <c r="CA122" s="96"/>
      <c r="CB122" s="96"/>
      <c r="CC122" s="96"/>
      <c r="CD122" s="96"/>
      <c r="CE122" s="96"/>
      <c r="CF122" s="96"/>
      <c r="CG122" s="96"/>
      <c r="CH122" s="96"/>
      <c r="CI122" s="96"/>
      <c r="CJ122" s="96"/>
      <c r="CK122" s="96"/>
      <c r="CL122" s="96"/>
      <c r="CM122" s="96"/>
      <c r="CN122" s="96"/>
      <c r="CO122" s="96"/>
      <c r="CP122" s="96"/>
      <c r="CQ122" s="96"/>
      <c r="CR122" s="96"/>
      <c r="CS122" s="96"/>
      <c r="CT122" s="96"/>
      <c r="CU122" s="96"/>
      <c r="CV122" s="96"/>
      <c r="CW122" s="96"/>
      <c r="CX122" s="96"/>
      <c r="CY122" s="96"/>
      <c r="CZ122" s="96"/>
      <c r="DA122" s="96"/>
      <c r="DB122" s="96"/>
      <c r="DC122" s="96"/>
      <c r="DD122" s="96"/>
      <c r="DE122" s="96"/>
      <c r="DF122" s="96"/>
      <c r="DG122" s="96"/>
      <c r="DH122" s="96"/>
      <c r="DI122" s="96"/>
      <c r="DJ122" s="96"/>
      <c r="DK122" s="96"/>
      <c r="DL122" s="96" t="s">
        <v>491</v>
      </c>
      <c r="DM122" s="96" t="s">
        <v>63</v>
      </c>
      <c r="DN122" s="96"/>
      <c r="DO122" s="96"/>
      <c r="DP122" s="96"/>
      <c r="DQ122" s="96"/>
    </row>
    <row r="123" spans="2:121">
      <c r="B123" s="99"/>
      <c r="C123" s="99"/>
      <c r="E123" s="96" t="s">
        <v>63</v>
      </c>
      <c r="F123" s="96" t="s">
        <v>546</v>
      </c>
      <c r="G123" s="96" t="s">
        <v>492</v>
      </c>
      <c r="H123" s="96" t="s">
        <v>493</v>
      </c>
      <c r="I123" s="96" t="s">
        <v>148</v>
      </c>
      <c r="J123" s="96" t="s">
        <v>487</v>
      </c>
      <c r="K123" s="96" t="s">
        <v>148</v>
      </c>
      <c r="L123" s="96"/>
      <c r="M123" s="96" t="s">
        <v>148</v>
      </c>
      <c r="N123" s="84" t="s">
        <v>144</v>
      </c>
      <c r="O123" s="96" t="s">
        <v>554</v>
      </c>
      <c r="P123" s="96" t="s">
        <v>555</v>
      </c>
      <c r="Q123" s="96" t="s">
        <v>148</v>
      </c>
      <c r="R123" s="96" t="s">
        <v>494</v>
      </c>
      <c r="S123" s="96" t="s">
        <v>495</v>
      </c>
      <c r="T123" s="96" t="s">
        <v>557</v>
      </c>
      <c r="U123" s="96"/>
      <c r="V123" s="96"/>
      <c r="W123" s="96"/>
      <c r="X123" s="96"/>
      <c r="Y123" s="96"/>
      <c r="Z123" s="96"/>
      <c r="AA123" s="96" t="s">
        <v>65</v>
      </c>
      <c r="AB123" s="96" t="s">
        <v>63</v>
      </c>
      <c r="AC123" s="96" t="s">
        <v>63</v>
      </c>
      <c r="AD123" s="96"/>
      <c r="AE123" s="96" t="s">
        <v>63</v>
      </c>
      <c r="AF123" s="96" t="s">
        <v>64</v>
      </c>
      <c r="AG123" s="96" t="s">
        <v>157</v>
      </c>
      <c r="AH123" s="96" t="s">
        <v>490</v>
      </c>
      <c r="AI123" s="96"/>
      <c r="AJ123" s="96"/>
      <c r="AK123" s="96"/>
      <c r="AL123" s="96"/>
      <c r="AM123" s="96"/>
      <c r="AN123" s="96"/>
      <c r="AO123" s="96"/>
      <c r="AP123" s="96"/>
      <c r="AQ123" s="96"/>
      <c r="AR123" s="96"/>
      <c r="AS123" s="96"/>
      <c r="AT123" s="96"/>
      <c r="AU123" s="96"/>
      <c r="AV123" s="96"/>
      <c r="AW123" s="96"/>
      <c r="AX123" s="96"/>
      <c r="AY123" s="96"/>
      <c r="AZ123" s="96"/>
      <c r="BA123" s="96"/>
      <c r="BB123" s="96"/>
      <c r="BC123" s="96"/>
      <c r="BD123" s="96"/>
      <c r="BE123" s="96"/>
      <c r="BF123" s="96"/>
      <c r="BG123" s="96"/>
      <c r="BH123" s="96"/>
      <c r="BI123" s="96"/>
      <c r="BJ123" s="96"/>
      <c r="BK123" s="96"/>
      <c r="BL123" s="96"/>
      <c r="BM123" s="96"/>
      <c r="BN123" s="96"/>
      <c r="BO123" s="96"/>
      <c r="BP123" s="96"/>
      <c r="BQ123" s="96"/>
      <c r="BR123" s="96" t="s">
        <v>65</v>
      </c>
      <c r="BS123" s="96"/>
      <c r="BT123" s="96"/>
      <c r="BU123" s="96" t="s">
        <v>63</v>
      </c>
      <c r="BV123" s="96"/>
      <c r="BW123" s="96"/>
      <c r="BX123" s="96"/>
      <c r="BY123" s="96"/>
      <c r="BZ123" s="96"/>
      <c r="CA123" s="96"/>
      <c r="CB123" s="96"/>
      <c r="CC123" s="96"/>
      <c r="CD123" s="96"/>
      <c r="CE123" s="96"/>
      <c r="CF123" s="96"/>
      <c r="CG123" s="96"/>
      <c r="CH123" s="96"/>
      <c r="CI123" s="96"/>
      <c r="CJ123" s="96"/>
      <c r="CK123" s="96"/>
      <c r="CL123" s="96"/>
      <c r="CM123" s="96"/>
      <c r="CN123" s="96"/>
      <c r="CO123" s="96"/>
      <c r="CP123" s="96"/>
      <c r="CQ123" s="96"/>
      <c r="CR123" s="96"/>
      <c r="CS123" s="96"/>
      <c r="CT123" s="96"/>
      <c r="CU123" s="96"/>
      <c r="CV123" s="96"/>
      <c r="CW123" s="96"/>
      <c r="CX123" s="96"/>
      <c r="CY123" s="96"/>
      <c r="CZ123" s="96"/>
      <c r="DA123" s="96"/>
      <c r="DB123" s="96"/>
      <c r="DC123" s="96"/>
      <c r="DD123" s="96"/>
      <c r="DE123" s="96"/>
      <c r="DF123" s="96"/>
      <c r="DG123" s="96"/>
      <c r="DH123" s="96"/>
      <c r="DI123" s="96"/>
      <c r="DJ123" s="96"/>
      <c r="DK123" s="96"/>
      <c r="DL123" s="96" t="s">
        <v>497</v>
      </c>
      <c r="DM123" s="96" t="s">
        <v>63</v>
      </c>
      <c r="DN123" s="96"/>
      <c r="DO123" s="96"/>
      <c r="DP123" s="96"/>
      <c r="DQ123" s="96"/>
    </row>
    <row r="124" spans="2:121">
      <c r="B124" s="99"/>
      <c r="C124" s="99"/>
      <c r="E124" s="96" t="s">
        <v>63</v>
      </c>
      <c r="F124" s="96" t="s">
        <v>546</v>
      </c>
      <c r="G124" s="96" t="s">
        <v>498</v>
      </c>
      <c r="H124" s="96" t="s">
        <v>499</v>
      </c>
      <c r="I124" s="96" t="s">
        <v>147</v>
      </c>
      <c r="J124" s="96" t="s">
        <v>487</v>
      </c>
      <c r="K124" s="96" t="s">
        <v>147</v>
      </c>
      <c r="L124" s="96"/>
      <c r="M124" s="96" t="s">
        <v>147</v>
      </c>
      <c r="N124" s="84" t="s">
        <v>147</v>
      </c>
      <c r="O124" s="96" t="s">
        <v>554</v>
      </c>
      <c r="P124" s="96" t="s">
        <v>555</v>
      </c>
      <c r="Q124" s="96" t="s">
        <v>147</v>
      </c>
      <c r="R124" s="96" t="s">
        <v>500</v>
      </c>
      <c r="S124" s="96" t="s">
        <v>501</v>
      </c>
      <c r="T124" s="96" t="s">
        <v>558</v>
      </c>
      <c r="U124" s="96"/>
      <c r="V124" s="96"/>
      <c r="W124" s="96"/>
      <c r="X124" s="96"/>
      <c r="Y124" s="96"/>
      <c r="Z124" s="96"/>
      <c r="AA124" s="96" t="s">
        <v>65</v>
      </c>
      <c r="AB124" s="96" t="s">
        <v>63</v>
      </c>
      <c r="AC124" s="96" t="s">
        <v>63</v>
      </c>
      <c r="AD124" s="96"/>
      <c r="AE124" s="96" t="s">
        <v>63</v>
      </c>
      <c r="AF124" s="96" t="s">
        <v>64</v>
      </c>
      <c r="AG124" s="96" t="s">
        <v>64</v>
      </c>
      <c r="AH124" s="96" t="s">
        <v>490</v>
      </c>
      <c r="AI124" s="96"/>
      <c r="AJ124" s="96"/>
      <c r="AK124" s="96"/>
      <c r="AL124" s="96"/>
      <c r="AM124" s="96"/>
      <c r="AN124" s="96"/>
      <c r="AO124" s="96"/>
      <c r="AP124" s="96"/>
      <c r="AQ124" s="96"/>
      <c r="AR124" s="96"/>
      <c r="AS124" s="96"/>
      <c r="AT124" s="96"/>
      <c r="AU124" s="96"/>
      <c r="AV124" s="96"/>
      <c r="AW124" s="96"/>
      <c r="AX124" s="96"/>
      <c r="AY124" s="96"/>
      <c r="AZ124" s="96"/>
      <c r="BA124" s="96"/>
      <c r="BB124" s="96"/>
      <c r="BC124" s="96"/>
      <c r="BD124" s="96"/>
      <c r="BE124" s="96"/>
      <c r="BF124" s="96"/>
      <c r="BG124" s="96"/>
      <c r="BH124" s="96"/>
      <c r="BI124" s="96"/>
      <c r="BJ124" s="96"/>
      <c r="BK124" s="96"/>
      <c r="BL124" s="96"/>
      <c r="BM124" s="96"/>
      <c r="BN124" s="96"/>
      <c r="BO124" s="96"/>
      <c r="BP124" s="96"/>
      <c r="BQ124" s="96"/>
      <c r="BR124" s="96" t="s">
        <v>65</v>
      </c>
      <c r="BS124" s="96"/>
      <c r="BT124" s="96"/>
      <c r="BU124" s="96" t="s">
        <v>63</v>
      </c>
      <c r="BV124" s="96"/>
      <c r="BW124" s="96"/>
      <c r="BX124" s="96"/>
      <c r="BY124" s="96"/>
      <c r="BZ124" s="96"/>
      <c r="CA124" s="96"/>
      <c r="CB124" s="96"/>
      <c r="CC124" s="96"/>
      <c r="CD124" s="96"/>
      <c r="CE124" s="96"/>
      <c r="CF124" s="96"/>
      <c r="CG124" s="96"/>
      <c r="CH124" s="96"/>
      <c r="CI124" s="96"/>
      <c r="CJ124" s="96"/>
      <c r="CK124" s="96"/>
      <c r="CL124" s="96"/>
      <c r="CM124" s="96"/>
      <c r="CN124" s="96"/>
      <c r="CO124" s="96"/>
      <c r="CP124" s="96"/>
      <c r="CQ124" s="96"/>
      <c r="CR124" s="96"/>
      <c r="CS124" s="96"/>
      <c r="CT124" s="96"/>
      <c r="CU124" s="96"/>
      <c r="CV124" s="96"/>
      <c r="CW124" s="96"/>
      <c r="CX124" s="96"/>
      <c r="CY124" s="96"/>
      <c r="CZ124" s="96"/>
      <c r="DA124" s="96"/>
      <c r="DB124" s="96"/>
      <c r="DC124" s="96"/>
      <c r="DD124" s="96"/>
      <c r="DE124" s="96"/>
      <c r="DF124" s="96"/>
      <c r="DG124" s="96"/>
      <c r="DH124" s="96"/>
      <c r="DI124" s="96"/>
      <c r="DJ124" s="96"/>
      <c r="DK124" s="96"/>
      <c r="DL124" s="96" t="s">
        <v>502</v>
      </c>
      <c r="DM124" s="96" t="s">
        <v>63</v>
      </c>
      <c r="DN124" s="96"/>
      <c r="DO124" s="96"/>
      <c r="DP124" s="96"/>
      <c r="DQ124" s="96"/>
    </row>
  </sheetData>
  <mergeCells count="10">
    <mergeCell ref="B95:B96"/>
    <mergeCell ref="C95:C96"/>
    <mergeCell ref="B116:B117"/>
    <mergeCell ref="C116:C117"/>
    <mergeCell ref="B4:B5"/>
    <mergeCell ref="C4:C5"/>
    <mergeCell ref="B40:B41"/>
    <mergeCell ref="C40:C41"/>
    <mergeCell ref="B85:B86"/>
    <mergeCell ref="C85:C86"/>
  </mergeCells>
  <phoneticPr fontId="8"/>
  <hyperlinks>
    <hyperlink ref="V17" r:id="rId1" xr:uid="{92735D87-4F03-4819-8216-7FB4F47A3236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5F466-97E6-4922-AA41-0731B279228A}">
  <dimension ref="B1:R35"/>
  <sheetViews>
    <sheetView zoomScaleNormal="100" workbookViewId="0"/>
  </sheetViews>
  <sheetFormatPr defaultColWidth="8.875" defaultRowHeight="13.5"/>
  <cols>
    <col min="2" max="2" width="22.75" customWidth="1"/>
    <col min="3" max="3" width="29" bestFit="1" customWidth="1"/>
    <col min="4" max="5" width="17.625" bestFit="1" customWidth="1"/>
    <col min="6" max="6" width="16.875" bestFit="1" customWidth="1"/>
    <col min="7" max="7" width="15" customWidth="1"/>
    <col min="8" max="9" width="15.5" bestFit="1" customWidth="1"/>
    <col min="10" max="10" width="17.625" bestFit="1" customWidth="1"/>
    <col min="12" max="12" width="11.625" bestFit="1" customWidth="1"/>
    <col min="13" max="13" width="13.875" bestFit="1" customWidth="1"/>
    <col min="14" max="14" width="21.625" bestFit="1" customWidth="1"/>
  </cols>
  <sheetData>
    <row r="1" spans="2:18">
      <c r="C1" s="75"/>
    </row>
    <row r="2" spans="2:18">
      <c r="C2" s="75"/>
    </row>
    <row r="3" spans="2:18">
      <c r="B3" s="77" t="s">
        <v>47</v>
      </c>
      <c r="C3" s="75"/>
    </row>
    <row r="4" spans="2:18">
      <c r="B4" s="77" t="s">
        <v>45</v>
      </c>
    </row>
    <row r="5" spans="2:18">
      <c r="B5" s="166" t="s">
        <v>585</v>
      </c>
      <c r="C5" s="166" t="s">
        <v>586</v>
      </c>
      <c r="D5" s="166"/>
      <c r="E5" s="166"/>
      <c r="F5" s="166"/>
      <c r="G5" s="166"/>
      <c r="H5" s="166"/>
    </row>
    <row r="6" spans="2:18" ht="28.5">
      <c r="B6" s="167" t="s">
        <v>587</v>
      </c>
      <c r="C6" s="167" t="s">
        <v>588</v>
      </c>
      <c r="D6" s="167" t="s">
        <v>589</v>
      </c>
      <c r="E6" s="167" t="s">
        <v>590</v>
      </c>
      <c r="F6" s="167" t="s">
        <v>591</v>
      </c>
      <c r="G6" s="167" t="s">
        <v>592</v>
      </c>
      <c r="H6" s="167" t="s">
        <v>593</v>
      </c>
    </row>
    <row r="7" spans="2:18" ht="14.25">
      <c r="B7" s="167" t="s">
        <v>74</v>
      </c>
      <c r="C7" s="167" t="s">
        <v>74</v>
      </c>
      <c r="D7" s="167" t="s">
        <v>594</v>
      </c>
      <c r="E7" s="167" t="s">
        <v>594</v>
      </c>
      <c r="F7" s="167" t="s">
        <v>594</v>
      </c>
      <c r="G7" s="167" t="s">
        <v>594</v>
      </c>
      <c r="H7" s="167" t="s">
        <v>594</v>
      </c>
    </row>
    <row r="8" spans="2:18" ht="28.5">
      <c r="B8" s="167" t="s">
        <v>595</v>
      </c>
      <c r="C8" s="167" t="s">
        <v>596</v>
      </c>
      <c r="D8" s="167" t="s">
        <v>597</v>
      </c>
      <c r="E8" s="167" t="s">
        <v>598</v>
      </c>
      <c r="F8" s="167" t="s">
        <v>599</v>
      </c>
      <c r="G8" s="167" t="s">
        <v>600</v>
      </c>
      <c r="H8" s="167" t="s">
        <v>601</v>
      </c>
    </row>
    <row r="9" spans="2:18">
      <c r="B9" s="168" t="s">
        <v>603</v>
      </c>
      <c r="C9" s="168" t="s">
        <v>602</v>
      </c>
      <c r="D9" s="168">
        <v>1</v>
      </c>
      <c r="E9" s="168">
        <v>1</v>
      </c>
      <c r="F9" s="168">
        <v>1</v>
      </c>
      <c r="G9" s="168">
        <v>1</v>
      </c>
      <c r="H9" s="168" t="s">
        <v>172</v>
      </c>
    </row>
    <row r="12" spans="2:18">
      <c r="B12" s="77" t="s">
        <v>46</v>
      </c>
    </row>
    <row r="13" spans="2:18">
      <c r="B13" s="166" t="s">
        <v>559</v>
      </c>
      <c r="C13" s="166" t="s">
        <v>560</v>
      </c>
      <c r="D13" s="166"/>
      <c r="E13" s="166"/>
      <c r="F13" s="166"/>
      <c r="G13" s="166"/>
      <c r="H13" s="166"/>
      <c r="I13" s="166"/>
      <c r="J13" s="166"/>
      <c r="K13" s="166"/>
      <c r="L13" s="166"/>
      <c r="M13" s="166"/>
      <c r="N13" s="166"/>
      <c r="O13" s="166"/>
      <c r="P13" s="166"/>
      <c r="Q13" s="166"/>
      <c r="R13" s="166"/>
    </row>
    <row r="14" spans="2:18" ht="42.75">
      <c r="B14" s="167" t="s">
        <v>561</v>
      </c>
      <c r="C14" s="167" t="s">
        <v>113</v>
      </c>
      <c r="D14" s="167" t="s">
        <v>506</v>
      </c>
      <c r="E14" s="167" t="s">
        <v>508</v>
      </c>
      <c r="F14" s="167" t="s">
        <v>112</v>
      </c>
      <c r="G14" s="167" t="s">
        <v>509</v>
      </c>
      <c r="H14" s="167" t="s">
        <v>109</v>
      </c>
      <c r="I14" s="167" t="s">
        <v>562</v>
      </c>
      <c r="J14" s="167" t="s">
        <v>563</v>
      </c>
      <c r="K14" s="167" t="s">
        <v>510</v>
      </c>
      <c r="L14" s="167" t="s">
        <v>511</v>
      </c>
      <c r="M14" s="167" t="s">
        <v>111</v>
      </c>
      <c r="N14" s="167" t="s">
        <v>124</v>
      </c>
      <c r="O14" s="167" t="s">
        <v>77</v>
      </c>
      <c r="P14" s="167" t="s">
        <v>564</v>
      </c>
      <c r="Q14" s="167" t="s">
        <v>565</v>
      </c>
      <c r="R14" s="167" t="s">
        <v>566</v>
      </c>
    </row>
    <row r="15" spans="2:18" ht="14.25">
      <c r="B15" s="167" t="s">
        <v>74</v>
      </c>
      <c r="C15" s="167" t="s">
        <v>75</v>
      </c>
      <c r="D15" s="167" t="s">
        <v>75</v>
      </c>
      <c r="E15" s="167" t="s">
        <v>567</v>
      </c>
      <c r="F15" s="167" t="s">
        <v>567</v>
      </c>
      <c r="G15" s="167" t="s">
        <v>75</v>
      </c>
      <c r="H15" s="167" t="s">
        <v>567</v>
      </c>
      <c r="I15" s="167" t="s">
        <v>75</v>
      </c>
      <c r="J15" s="167" t="s">
        <v>75</v>
      </c>
      <c r="K15" s="167" t="s">
        <v>74</v>
      </c>
      <c r="L15" s="167" t="s">
        <v>74</v>
      </c>
      <c r="M15" s="167" t="s">
        <v>75</v>
      </c>
      <c r="N15" s="167" t="s">
        <v>75</v>
      </c>
      <c r="O15" s="167" t="s">
        <v>74</v>
      </c>
      <c r="P15" s="167" t="s">
        <v>75</v>
      </c>
      <c r="Q15" s="167" t="s">
        <v>75</v>
      </c>
      <c r="R15" s="167" t="s">
        <v>74</v>
      </c>
    </row>
    <row r="16" spans="2:18" ht="42.75">
      <c r="B16" s="167" t="s">
        <v>568</v>
      </c>
      <c r="C16" s="167" t="s">
        <v>569</v>
      </c>
      <c r="D16" s="167" t="s">
        <v>570</v>
      </c>
      <c r="E16" s="167" t="s">
        <v>571</v>
      </c>
      <c r="F16" s="167" t="s">
        <v>572</v>
      </c>
      <c r="G16" s="167" t="s">
        <v>573</v>
      </c>
      <c r="H16" s="167" t="s">
        <v>574</v>
      </c>
      <c r="I16" s="167" t="s">
        <v>575</v>
      </c>
      <c r="J16" s="167" t="s">
        <v>576</v>
      </c>
      <c r="K16" s="167" t="s">
        <v>577</v>
      </c>
      <c r="L16" s="167" t="s">
        <v>578</v>
      </c>
      <c r="M16" s="167" t="s">
        <v>579</v>
      </c>
      <c r="N16" s="167" t="s">
        <v>580</v>
      </c>
      <c r="O16" s="167" t="s">
        <v>581</v>
      </c>
      <c r="P16" s="167" t="s">
        <v>582</v>
      </c>
      <c r="Q16" s="167" t="s">
        <v>583</v>
      </c>
      <c r="R16" s="167" t="s">
        <v>584</v>
      </c>
    </row>
    <row r="17" spans="2:18">
      <c r="B17" s="174">
        <v>1</v>
      </c>
      <c r="C17" s="178">
        <v>4</v>
      </c>
      <c r="D17" s="174" t="s">
        <v>270</v>
      </c>
      <c r="E17" s="177">
        <v>46023</v>
      </c>
      <c r="F17" s="159">
        <v>46112</v>
      </c>
      <c r="G17" s="96" t="s">
        <v>549</v>
      </c>
      <c r="H17" s="177">
        <v>46023</v>
      </c>
      <c r="I17" s="174">
        <v>4</v>
      </c>
      <c r="J17" s="174" t="s">
        <v>512</v>
      </c>
      <c r="K17" s="174">
        <v>1</v>
      </c>
      <c r="L17" s="174">
        <v>0</v>
      </c>
      <c r="M17" s="101" t="s">
        <v>145</v>
      </c>
      <c r="N17" s="101" t="s">
        <v>149</v>
      </c>
      <c r="O17" s="174">
        <v>0</v>
      </c>
      <c r="P17" s="174"/>
      <c r="Q17" s="174"/>
      <c r="R17" s="174"/>
    </row>
    <row r="18" spans="2:18">
      <c r="B18" s="174">
        <v>2</v>
      </c>
      <c r="C18" s="178">
        <v>0</v>
      </c>
      <c r="D18" s="174" t="s">
        <v>606</v>
      </c>
      <c r="E18" s="177">
        <v>46023</v>
      </c>
      <c r="F18" s="159">
        <v>46112</v>
      </c>
      <c r="G18" s="96" t="s">
        <v>549</v>
      </c>
      <c r="H18" s="177">
        <v>46023</v>
      </c>
      <c r="I18" s="174">
        <v>0</v>
      </c>
      <c r="J18" s="174" t="s">
        <v>607</v>
      </c>
      <c r="K18" s="174">
        <v>3</v>
      </c>
      <c r="L18" s="174">
        <v>0</v>
      </c>
      <c r="M18" s="101"/>
      <c r="N18" s="101"/>
      <c r="O18" s="174"/>
      <c r="P18" s="174"/>
      <c r="Q18" s="174"/>
      <c r="R18" s="174"/>
    </row>
    <row r="19" spans="2:18">
      <c r="B19" s="174">
        <v>3</v>
      </c>
      <c r="C19" s="178" t="s">
        <v>65</v>
      </c>
      <c r="D19" s="174" t="s">
        <v>267</v>
      </c>
      <c r="E19" s="177">
        <v>46055.685567129629</v>
      </c>
      <c r="F19" s="177">
        <v>46112</v>
      </c>
      <c r="G19" s="96" t="s">
        <v>549</v>
      </c>
      <c r="H19" s="159">
        <v>46025</v>
      </c>
      <c r="I19" s="176" t="s">
        <v>160</v>
      </c>
      <c r="J19" s="174" t="s">
        <v>610</v>
      </c>
      <c r="K19" s="174">
        <v>1</v>
      </c>
      <c r="L19" s="174">
        <v>0</v>
      </c>
      <c r="M19" s="101" t="s">
        <v>145</v>
      </c>
      <c r="N19" s="101" t="s">
        <v>152</v>
      </c>
      <c r="O19" s="174">
        <v>0</v>
      </c>
      <c r="P19" s="174"/>
      <c r="Q19" s="174"/>
      <c r="R19" s="174"/>
    </row>
    <row r="20" spans="2:18">
      <c r="B20" s="174">
        <v>4</v>
      </c>
      <c r="C20" s="178" t="s">
        <v>64</v>
      </c>
      <c r="D20" s="174" t="s">
        <v>268</v>
      </c>
      <c r="E20" s="177">
        <v>46055.685567129629</v>
      </c>
      <c r="F20" s="177">
        <v>46112</v>
      </c>
      <c r="G20" s="96" t="s">
        <v>549</v>
      </c>
      <c r="H20" s="159">
        <v>46026</v>
      </c>
      <c r="I20" s="176" t="s">
        <v>154</v>
      </c>
      <c r="J20" s="174" t="s">
        <v>512</v>
      </c>
      <c r="K20" s="174">
        <v>1</v>
      </c>
      <c r="L20" s="174">
        <v>0</v>
      </c>
      <c r="M20" s="101" t="s">
        <v>145</v>
      </c>
      <c r="N20" s="101" t="s">
        <v>149</v>
      </c>
      <c r="O20" s="174">
        <v>0</v>
      </c>
      <c r="P20" s="174"/>
      <c r="Q20" s="174"/>
      <c r="R20" s="174"/>
    </row>
    <row r="21" spans="2:18">
      <c r="B21" s="174">
        <v>5</v>
      </c>
      <c r="C21" s="178" t="s">
        <v>151</v>
      </c>
      <c r="D21" s="174" t="s">
        <v>268</v>
      </c>
      <c r="E21" s="177">
        <v>46023.685567129629</v>
      </c>
      <c r="F21" s="177">
        <v>46113</v>
      </c>
      <c r="G21" s="96" t="s">
        <v>550</v>
      </c>
      <c r="H21" s="159">
        <v>46023</v>
      </c>
      <c r="I21" s="176" t="s">
        <v>160</v>
      </c>
      <c r="J21" s="174" t="s">
        <v>609</v>
      </c>
      <c r="K21" s="174">
        <v>0</v>
      </c>
      <c r="L21" s="174">
        <v>0</v>
      </c>
      <c r="M21" s="101"/>
      <c r="N21" s="101"/>
      <c r="O21" s="174"/>
      <c r="P21" s="174"/>
      <c r="Q21" s="174"/>
      <c r="R21" s="174"/>
    </row>
    <row r="22" spans="2:18">
      <c r="B22" s="174">
        <v>6</v>
      </c>
      <c r="C22" s="178" t="s">
        <v>160</v>
      </c>
      <c r="D22" s="174" t="s">
        <v>516</v>
      </c>
      <c r="E22" s="177">
        <v>46055.685567129629</v>
      </c>
      <c r="F22" s="177">
        <v>46112</v>
      </c>
      <c r="G22" s="96" t="s">
        <v>549</v>
      </c>
      <c r="H22" s="159">
        <v>46027</v>
      </c>
      <c r="I22" s="176" t="s">
        <v>157</v>
      </c>
      <c r="J22" s="174" t="s">
        <v>513</v>
      </c>
      <c r="K22" s="174">
        <v>1</v>
      </c>
      <c r="L22" s="174">
        <v>0</v>
      </c>
      <c r="M22" s="101" t="s">
        <v>145</v>
      </c>
      <c r="N22" s="101" t="s">
        <v>155</v>
      </c>
      <c r="O22" s="174">
        <v>0</v>
      </c>
      <c r="P22" s="174"/>
      <c r="Q22" s="174"/>
      <c r="R22" s="174"/>
    </row>
    <row r="23" spans="2:18">
      <c r="B23" s="174">
        <v>7</v>
      </c>
      <c r="C23" s="178" t="s">
        <v>160</v>
      </c>
      <c r="D23" s="174" t="s">
        <v>516</v>
      </c>
      <c r="E23" s="177">
        <v>46055.685567129629</v>
      </c>
      <c r="F23" s="177">
        <v>46112</v>
      </c>
      <c r="G23" s="96" t="s">
        <v>549</v>
      </c>
      <c r="H23" s="159">
        <v>46029</v>
      </c>
      <c r="I23" s="176" t="s">
        <v>160</v>
      </c>
      <c r="J23" s="174" t="s">
        <v>610</v>
      </c>
      <c r="K23" s="174">
        <v>1</v>
      </c>
      <c r="L23" s="174">
        <v>2</v>
      </c>
      <c r="M23" s="101" t="s">
        <v>145</v>
      </c>
      <c r="N23" s="101" t="s">
        <v>159</v>
      </c>
      <c r="O23" s="174">
        <v>0</v>
      </c>
      <c r="P23" s="174"/>
      <c r="Q23" s="174"/>
      <c r="R23" s="174"/>
    </row>
    <row r="24" spans="2:18">
      <c r="B24" s="174">
        <v>8</v>
      </c>
      <c r="C24" s="178" t="s">
        <v>160</v>
      </c>
      <c r="D24" s="174" t="s">
        <v>516</v>
      </c>
      <c r="E24" s="177">
        <v>46055.685567129629</v>
      </c>
      <c r="F24" s="177">
        <v>46112</v>
      </c>
      <c r="G24" s="96" t="s">
        <v>549</v>
      </c>
      <c r="H24" s="159">
        <v>46030</v>
      </c>
      <c r="I24" s="176" t="s">
        <v>160</v>
      </c>
      <c r="J24" s="174" t="s">
        <v>610</v>
      </c>
      <c r="K24" s="174">
        <v>1</v>
      </c>
      <c r="L24" s="174">
        <v>0</v>
      </c>
      <c r="M24" s="101" t="s">
        <v>145</v>
      </c>
      <c r="N24" s="101" t="s">
        <v>162</v>
      </c>
      <c r="O24" s="174">
        <v>0</v>
      </c>
      <c r="P24" s="174"/>
      <c r="Q24" s="174"/>
      <c r="R24" s="174"/>
    </row>
    <row r="25" spans="2:18">
      <c r="B25" s="174">
        <v>9</v>
      </c>
      <c r="C25" s="178" t="s">
        <v>160</v>
      </c>
      <c r="D25" s="174" t="s">
        <v>516</v>
      </c>
      <c r="E25" s="177">
        <v>46055.685567129629</v>
      </c>
      <c r="F25" s="177">
        <v>46112</v>
      </c>
      <c r="G25" s="96" t="s">
        <v>549</v>
      </c>
      <c r="H25" s="159">
        <v>46031</v>
      </c>
      <c r="I25" s="176" t="s">
        <v>160</v>
      </c>
      <c r="J25" s="174" t="s">
        <v>610</v>
      </c>
      <c r="K25" s="174">
        <v>1</v>
      </c>
      <c r="L25" s="174">
        <v>0</v>
      </c>
      <c r="M25" s="101" t="s">
        <v>145</v>
      </c>
      <c r="N25" s="101" t="s">
        <v>168</v>
      </c>
      <c r="O25" s="174">
        <v>0</v>
      </c>
      <c r="P25" s="174"/>
      <c r="Q25" s="174"/>
      <c r="R25" s="174"/>
    </row>
    <row r="26" spans="2:18">
      <c r="B26" s="174">
        <v>10</v>
      </c>
      <c r="C26" s="178" t="s">
        <v>160</v>
      </c>
      <c r="D26" s="174" t="s">
        <v>516</v>
      </c>
      <c r="E26" s="177">
        <v>46055.685567129629</v>
      </c>
      <c r="F26" s="177">
        <v>46112</v>
      </c>
      <c r="G26" s="96" t="s">
        <v>549</v>
      </c>
      <c r="H26" s="159">
        <v>46032</v>
      </c>
      <c r="I26" s="176" t="s">
        <v>160</v>
      </c>
      <c r="J26" s="174" t="s">
        <v>610</v>
      </c>
      <c r="K26" s="174">
        <v>1</v>
      </c>
      <c r="L26" s="174">
        <v>0</v>
      </c>
      <c r="M26" s="101" t="s">
        <v>145</v>
      </c>
      <c r="N26" s="101" t="s">
        <v>162</v>
      </c>
      <c r="O26" s="174">
        <v>0</v>
      </c>
      <c r="P26" s="174"/>
      <c r="Q26" s="174"/>
      <c r="R26" s="174"/>
    </row>
    <row r="27" spans="2:18">
      <c r="B27" s="174">
        <v>11</v>
      </c>
      <c r="C27" s="178" t="s">
        <v>160</v>
      </c>
      <c r="D27" s="174" t="s">
        <v>516</v>
      </c>
      <c r="E27" s="177">
        <v>46055.685567129629</v>
      </c>
      <c r="F27" s="177">
        <v>46112</v>
      </c>
      <c r="G27" s="96" t="s">
        <v>549</v>
      </c>
      <c r="H27" s="159">
        <v>46033</v>
      </c>
      <c r="I27" s="176" t="s">
        <v>160</v>
      </c>
      <c r="J27" s="174" t="s">
        <v>610</v>
      </c>
      <c r="K27" s="174">
        <v>0</v>
      </c>
      <c r="L27" s="174">
        <v>0</v>
      </c>
      <c r="M27" s="101" t="s">
        <v>145</v>
      </c>
      <c r="N27" s="101" t="s">
        <v>149</v>
      </c>
      <c r="O27" s="174">
        <v>0</v>
      </c>
      <c r="P27" s="174"/>
      <c r="Q27" s="174"/>
      <c r="R27" s="174"/>
    </row>
    <row r="28" spans="2:18">
      <c r="B28" s="174">
        <v>12</v>
      </c>
      <c r="C28" s="178" t="s">
        <v>160</v>
      </c>
      <c r="D28" s="174" t="s">
        <v>516</v>
      </c>
      <c r="E28" s="177">
        <v>46055.685567129629</v>
      </c>
      <c r="F28" s="177">
        <v>46112</v>
      </c>
      <c r="G28" s="96" t="s">
        <v>549</v>
      </c>
      <c r="H28" s="159">
        <v>46034</v>
      </c>
      <c r="I28" s="176" t="s">
        <v>160</v>
      </c>
      <c r="J28" s="174" t="s">
        <v>610</v>
      </c>
      <c r="K28" s="174">
        <v>1</v>
      </c>
      <c r="L28" s="174">
        <v>0</v>
      </c>
      <c r="M28" s="101" t="s">
        <v>145</v>
      </c>
      <c r="N28" s="101" t="s">
        <v>162</v>
      </c>
      <c r="O28" s="174">
        <v>0</v>
      </c>
      <c r="P28" s="174"/>
      <c r="Q28" s="174"/>
      <c r="R28" s="174"/>
    </row>
    <row r="29" spans="2:18">
      <c r="B29" s="174">
        <v>13</v>
      </c>
      <c r="C29" s="178" t="s">
        <v>160</v>
      </c>
      <c r="D29" s="174" t="s">
        <v>516</v>
      </c>
      <c r="E29" s="177">
        <v>46055.685567129629</v>
      </c>
      <c r="F29" s="177">
        <v>46112</v>
      </c>
      <c r="G29" s="96" t="s">
        <v>549</v>
      </c>
      <c r="H29" s="159">
        <v>46035</v>
      </c>
      <c r="I29" s="176" t="s">
        <v>157</v>
      </c>
      <c r="J29" s="174" t="s">
        <v>610</v>
      </c>
      <c r="K29" s="174">
        <v>1</v>
      </c>
      <c r="L29" s="174">
        <v>0</v>
      </c>
      <c r="M29" s="101" t="s">
        <v>145</v>
      </c>
      <c r="N29" s="101" t="s">
        <v>162</v>
      </c>
      <c r="O29" s="174">
        <v>0</v>
      </c>
      <c r="P29" s="174"/>
      <c r="Q29" s="174"/>
      <c r="R29" s="174"/>
    </row>
    <row r="30" spans="2:18">
      <c r="B30" s="174">
        <v>14</v>
      </c>
      <c r="C30" s="178" t="s">
        <v>160</v>
      </c>
      <c r="D30" s="174" t="s">
        <v>516</v>
      </c>
      <c r="E30" s="177">
        <v>46055.685567129629</v>
      </c>
      <c r="F30" s="177">
        <v>46112</v>
      </c>
      <c r="G30" s="96" t="s">
        <v>549</v>
      </c>
      <c r="H30" s="159">
        <v>46053</v>
      </c>
      <c r="I30" s="176" t="s">
        <v>160</v>
      </c>
      <c r="J30" s="174" t="s">
        <v>610</v>
      </c>
      <c r="K30" s="174">
        <v>0</v>
      </c>
      <c r="L30" s="174">
        <v>0</v>
      </c>
      <c r="M30" s="101" t="s">
        <v>145</v>
      </c>
      <c r="N30" s="101" t="s">
        <v>162</v>
      </c>
      <c r="O30" s="174">
        <v>0</v>
      </c>
      <c r="P30" s="174"/>
      <c r="Q30" s="174"/>
      <c r="R30" s="174"/>
    </row>
    <row r="31" spans="2:18">
      <c r="B31" s="174">
        <v>15</v>
      </c>
      <c r="C31" s="178" t="s">
        <v>160</v>
      </c>
      <c r="D31" s="174" t="s">
        <v>269</v>
      </c>
      <c r="E31" s="177">
        <v>46055.685567129629</v>
      </c>
      <c r="F31" s="177">
        <v>46112</v>
      </c>
      <c r="G31" s="96" t="s">
        <v>556</v>
      </c>
      <c r="H31" s="159">
        <v>46054</v>
      </c>
      <c r="I31" s="176" t="s">
        <v>160</v>
      </c>
      <c r="J31" s="174" t="s">
        <v>611</v>
      </c>
      <c r="K31" s="174">
        <v>2</v>
      </c>
      <c r="L31" s="174">
        <v>0</v>
      </c>
      <c r="M31" s="101" t="s">
        <v>145</v>
      </c>
      <c r="N31" s="101" t="s">
        <v>162</v>
      </c>
      <c r="O31" s="174">
        <v>0</v>
      </c>
      <c r="P31" s="174"/>
      <c r="Q31" s="174"/>
      <c r="R31" s="174"/>
    </row>
    <row r="32" spans="2:18">
      <c r="B32" s="174">
        <v>16</v>
      </c>
      <c r="C32" s="178" t="s">
        <v>154</v>
      </c>
      <c r="D32" s="174" t="s">
        <v>608</v>
      </c>
      <c r="E32" s="177">
        <v>46055.685567129629</v>
      </c>
      <c r="F32" s="177">
        <v>46112</v>
      </c>
      <c r="G32" s="96" t="s">
        <v>549</v>
      </c>
      <c r="H32" s="159">
        <v>46028</v>
      </c>
      <c r="I32" s="176" t="s">
        <v>160</v>
      </c>
      <c r="J32" s="174" t="s">
        <v>610</v>
      </c>
      <c r="K32" s="174">
        <v>1</v>
      </c>
      <c r="L32" s="174">
        <v>0</v>
      </c>
      <c r="M32" s="101" t="s">
        <v>145</v>
      </c>
      <c r="N32" s="101" t="s">
        <v>162</v>
      </c>
      <c r="O32" s="174">
        <v>0</v>
      </c>
      <c r="P32" s="174"/>
      <c r="Q32" s="174"/>
      <c r="R32" s="174"/>
    </row>
    <row r="33" spans="2:18">
      <c r="B33" s="174">
        <v>17</v>
      </c>
      <c r="C33" s="178" t="s">
        <v>154</v>
      </c>
      <c r="D33" s="174" t="s">
        <v>608</v>
      </c>
      <c r="E33" s="177">
        <v>46055.685567129629</v>
      </c>
      <c r="F33" s="177">
        <v>46112</v>
      </c>
      <c r="G33" s="96" t="s">
        <v>556</v>
      </c>
      <c r="H33" s="159">
        <v>46068</v>
      </c>
      <c r="I33" s="176" t="s">
        <v>160</v>
      </c>
      <c r="J33" s="174" t="s">
        <v>611</v>
      </c>
      <c r="K33" s="174">
        <v>2</v>
      </c>
      <c r="L33" s="174">
        <v>0</v>
      </c>
      <c r="M33" s="101" t="s">
        <v>145</v>
      </c>
      <c r="N33" s="101" t="s">
        <v>162</v>
      </c>
      <c r="O33" s="174">
        <v>0</v>
      </c>
      <c r="P33" s="174"/>
      <c r="Q33" s="174"/>
      <c r="R33" s="174"/>
    </row>
    <row r="34" spans="2:18">
      <c r="B34" s="174">
        <v>18</v>
      </c>
      <c r="C34" s="178" t="s">
        <v>154</v>
      </c>
      <c r="D34" s="174" t="s">
        <v>608</v>
      </c>
      <c r="E34" s="177">
        <v>46055.685567129629</v>
      </c>
      <c r="F34" s="177">
        <v>46112</v>
      </c>
      <c r="G34" s="96" t="s">
        <v>556</v>
      </c>
      <c r="H34" s="159">
        <v>46073</v>
      </c>
      <c r="I34" s="176" t="s">
        <v>160</v>
      </c>
      <c r="J34" s="174" t="s">
        <v>611</v>
      </c>
      <c r="K34" s="174">
        <v>1</v>
      </c>
      <c r="L34" s="174">
        <v>0</v>
      </c>
      <c r="M34" s="101" t="s">
        <v>145</v>
      </c>
      <c r="N34" s="101" t="s">
        <v>162</v>
      </c>
      <c r="O34" s="174">
        <v>0</v>
      </c>
      <c r="P34" s="174"/>
      <c r="Q34" s="174"/>
      <c r="R34" s="174"/>
    </row>
    <row r="35" spans="2:18">
      <c r="B35" s="174">
        <v>19</v>
      </c>
      <c r="C35" s="178" t="s">
        <v>154</v>
      </c>
      <c r="D35" s="174" t="s">
        <v>608</v>
      </c>
      <c r="E35" s="177">
        <v>46055.685567129629</v>
      </c>
      <c r="F35" s="177">
        <v>46112</v>
      </c>
      <c r="G35" s="96" t="s">
        <v>556</v>
      </c>
      <c r="H35" s="159">
        <v>46081</v>
      </c>
      <c r="I35" s="176" t="s">
        <v>160</v>
      </c>
      <c r="J35" s="174" t="s">
        <v>611</v>
      </c>
      <c r="K35" s="174">
        <v>1</v>
      </c>
      <c r="L35" s="174">
        <v>0</v>
      </c>
      <c r="M35" s="101" t="s">
        <v>145</v>
      </c>
      <c r="N35" s="101" t="s">
        <v>162</v>
      </c>
      <c r="O35" s="174">
        <v>0</v>
      </c>
      <c r="P35" s="174"/>
      <c r="Q35" s="174"/>
      <c r="R35" s="174"/>
    </row>
  </sheetData>
  <phoneticPr fontId="8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05162-B43F-4ECC-84A7-C0C3832D8F2A}">
  <sheetPr codeName="Sheet4">
    <pageSetUpPr fitToPage="1"/>
  </sheetPr>
  <dimension ref="A1:X42"/>
  <sheetViews>
    <sheetView zoomScaleNormal="100" workbookViewId="0"/>
  </sheetViews>
  <sheetFormatPr defaultColWidth="2.5" defaultRowHeight="15" customHeight="1"/>
  <cols>
    <col min="1" max="1" width="1.625" style="1" customWidth="1"/>
    <col min="2" max="2" width="14.875" style="18" customWidth="1"/>
    <col min="3" max="3" width="5.375" style="19" customWidth="1"/>
    <col min="4" max="4" width="45.625" style="20" customWidth="1"/>
    <col min="5" max="22" width="5.625" style="39" customWidth="1"/>
    <col min="23" max="23" width="2.5" style="1"/>
    <col min="24" max="24" width="2.5" style="81"/>
    <col min="25" max="16384" width="2.5" style="1"/>
  </cols>
  <sheetData>
    <row r="1" spans="1:22" ht="26.25" customHeight="1">
      <c r="B1" s="55" t="s">
        <v>29</v>
      </c>
      <c r="C1" s="56">
        <v>1</v>
      </c>
      <c r="D1" s="57" t="s">
        <v>30</v>
      </c>
      <c r="E1" s="25">
        <f>COUNTA(F1:CV1)</f>
        <v>1</v>
      </c>
      <c r="F1" s="25">
        <f t="shared" ref="F1" si="0">COLUMN()-5</f>
        <v>1</v>
      </c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</row>
    <row r="2" spans="1:22" ht="20.100000000000001" customHeight="1">
      <c r="A2" s="2"/>
      <c r="B2" s="53"/>
      <c r="C2" s="21" t="s">
        <v>31</v>
      </c>
      <c r="D2" s="51" t="s">
        <v>32</v>
      </c>
      <c r="E2" s="52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23"/>
    </row>
    <row r="3" spans="1:22" ht="19.899999999999999" customHeight="1">
      <c r="A3" s="2"/>
      <c r="B3" s="41" t="s">
        <v>33</v>
      </c>
      <c r="C3" s="26">
        <v>1</v>
      </c>
      <c r="D3" s="65" t="s">
        <v>53</v>
      </c>
      <c r="E3" s="66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</row>
    <row r="4" spans="1:22" ht="20.100000000000001" customHeight="1">
      <c r="A4" s="2"/>
      <c r="B4" s="41"/>
      <c r="C4" s="26">
        <f t="shared" ref="C4:C9" si="1">C3+1</f>
        <v>2</v>
      </c>
      <c r="D4" s="68" t="s">
        <v>633</v>
      </c>
      <c r="E4" s="69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</row>
    <row r="5" spans="1:22" ht="20.100000000000001" customHeight="1">
      <c r="A5" s="2"/>
      <c r="B5" s="41"/>
      <c r="C5" s="26">
        <f t="shared" si="1"/>
        <v>3</v>
      </c>
      <c r="D5" s="83" t="s">
        <v>634</v>
      </c>
      <c r="E5" s="24"/>
      <c r="F5" s="28" t="s">
        <v>40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</row>
    <row r="6" spans="1:22" ht="20.100000000000001" customHeight="1">
      <c r="A6" s="2"/>
      <c r="B6" s="41"/>
      <c r="C6" s="26">
        <f t="shared" si="1"/>
        <v>4</v>
      </c>
      <c r="D6" s="27"/>
      <c r="E6" s="24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</row>
    <row r="7" spans="1:22" ht="20.100000000000001" customHeight="1">
      <c r="A7" s="2"/>
      <c r="B7" s="41"/>
      <c r="C7" s="26">
        <f t="shared" si="1"/>
        <v>5</v>
      </c>
      <c r="D7" s="27"/>
      <c r="E7" s="24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</row>
    <row r="8" spans="1:22" ht="20.100000000000001" customHeight="1">
      <c r="A8" s="2"/>
      <c r="B8" s="41"/>
      <c r="C8" s="26">
        <f t="shared" si="1"/>
        <v>6</v>
      </c>
      <c r="D8" s="27"/>
      <c r="E8" s="24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</row>
    <row r="9" spans="1:22" ht="20.100000000000001" customHeight="1">
      <c r="A9" s="2"/>
      <c r="B9" s="41"/>
      <c r="C9" s="26">
        <f t="shared" si="1"/>
        <v>7</v>
      </c>
      <c r="D9" s="27"/>
      <c r="E9" s="24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</row>
    <row r="10" spans="1:22" ht="9.9499999999999993" customHeight="1">
      <c r="A10" s="2"/>
      <c r="B10" s="42"/>
      <c r="C10" s="45"/>
      <c r="D10" s="22"/>
      <c r="E10" s="22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7"/>
    </row>
    <row r="11" spans="1:22" ht="20.100000000000001" customHeight="1">
      <c r="A11" s="2"/>
      <c r="B11" s="53"/>
      <c r="C11" s="21" t="s">
        <v>31</v>
      </c>
      <c r="D11" s="51" t="s">
        <v>34</v>
      </c>
      <c r="E11" s="52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23"/>
    </row>
    <row r="12" spans="1:22" ht="20.100000000000001" customHeight="1">
      <c r="A12" s="2"/>
      <c r="B12" s="41"/>
      <c r="C12" s="26">
        <v>1</v>
      </c>
      <c r="D12" s="71" t="s">
        <v>54</v>
      </c>
      <c r="E12" s="66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</row>
    <row r="13" spans="1:22" ht="12">
      <c r="A13" s="2"/>
      <c r="B13" s="41"/>
      <c r="C13" s="26">
        <f>C12+1</f>
        <v>2</v>
      </c>
      <c r="D13" s="29" t="s">
        <v>628</v>
      </c>
      <c r="E13" s="24"/>
      <c r="F13" s="28" t="s">
        <v>41</v>
      </c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</row>
    <row r="14" spans="1:22" ht="12">
      <c r="A14" s="2"/>
      <c r="B14" s="41"/>
      <c r="C14" s="26"/>
      <c r="D14" s="74"/>
      <c r="E14" s="24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</row>
    <row r="15" spans="1:22" ht="30" customHeight="1">
      <c r="A15" s="2"/>
      <c r="B15" s="41"/>
      <c r="C15" s="26"/>
      <c r="D15" s="74"/>
      <c r="E15" s="24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</row>
    <row r="16" spans="1:22" ht="30" customHeight="1">
      <c r="A16" s="2"/>
      <c r="B16" s="41"/>
      <c r="C16" s="26"/>
      <c r="D16" s="29"/>
      <c r="E16" s="24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</row>
    <row r="17" spans="1:22" ht="30" customHeight="1">
      <c r="A17" s="2"/>
      <c r="B17" s="41"/>
      <c r="C17" s="26"/>
      <c r="D17" s="29"/>
      <c r="E17" s="24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</row>
    <row r="18" spans="1:22" ht="30" customHeight="1">
      <c r="A18" s="2"/>
      <c r="B18" s="41"/>
      <c r="C18" s="26"/>
      <c r="D18" s="29"/>
      <c r="E18" s="24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</row>
    <row r="19" spans="1:22" ht="30" customHeight="1">
      <c r="A19" s="2"/>
      <c r="B19" s="41"/>
      <c r="C19" s="26"/>
      <c r="D19" s="29"/>
      <c r="E19" s="24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</row>
    <row r="20" spans="1:22" ht="30" customHeight="1">
      <c r="A20" s="2"/>
      <c r="B20" s="41"/>
      <c r="C20" s="26"/>
      <c r="D20" s="29"/>
      <c r="E20" s="24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</row>
    <row r="21" spans="1:22" ht="30" customHeight="1">
      <c r="A21" s="2"/>
      <c r="B21" s="41"/>
      <c r="C21" s="26">
        <f t="shared" ref="C21" si="2">C20+1</f>
        <v>1</v>
      </c>
      <c r="D21" s="29"/>
      <c r="E21" s="24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</row>
    <row r="22" spans="1:22" ht="9.9499999999999993" customHeight="1">
      <c r="A22" s="2"/>
      <c r="B22" s="42"/>
      <c r="C22" s="45"/>
      <c r="D22" s="22"/>
      <c r="E22" s="22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7"/>
    </row>
    <row r="23" spans="1:22" ht="20.100000000000001" customHeight="1">
      <c r="A23" s="2"/>
      <c r="B23" s="53"/>
      <c r="C23" s="21" t="s">
        <v>31</v>
      </c>
      <c r="D23" s="54" t="s">
        <v>35</v>
      </c>
      <c r="E23" s="52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23"/>
    </row>
    <row r="24" spans="1:22" ht="15" customHeight="1">
      <c r="A24" s="2"/>
      <c r="B24" s="43" t="s">
        <v>27</v>
      </c>
      <c r="C24" s="30">
        <v>1</v>
      </c>
      <c r="D24" s="31"/>
      <c r="E24" s="32" t="s">
        <v>36</v>
      </c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</row>
    <row r="25" spans="1:22" ht="15" customHeight="1">
      <c r="A25" s="2"/>
      <c r="B25" s="43"/>
      <c r="C25" s="30"/>
      <c r="D25" s="33"/>
      <c r="E25" s="34" t="s">
        <v>37</v>
      </c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</row>
    <row r="26" spans="1:22" ht="15" customHeight="1">
      <c r="A26" s="2"/>
      <c r="B26" s="43"/>
      <c r="C26" s="35">
        <f>C24+1</f>
        <v>2</v>
      </c>
      <c r="D26" s="36"/>
      <c r="E26" s="32" t="s">
        <v>36</v>
      </c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</row>
    <row r="27" spans="1:22" ht="15" customHeight="1">
      <c r="A27" s="2"/>
      <c r="B27" s="43"/>
      <c r="C27" s="37"/>
      <c r="D27" s="38"/>
      <c r="E27" s="34" t="s">
        <v>37</v>
      </c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</row>
    <row r="28" spans="1:22" ht="15" customHeight="1">
      <c r="A28" s="2"/>
      <c r="B28" s="43"/>
      <c r="C28" s="35">
        <f>C26+1</f>
        <v>3</v>
      </c>
      <c r="D28" s="36"/>
      <c r="E28" s="32" t="s">
        <v>36</v>
      </c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</row>
    <row r="29" spans="1:22" ht="15" customHeight="1">
      <c r="A29" s="2"/>
      <c r="B29" s="43"/>
      <c r="C29" s="37"/>
      <c r="D29" s="38"/>
      <c r="E29" s="34" t="s">
        <v>37</v>
      </c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</row>
    <row r="30" spans="1:22" ht="15" customHeight="1">
      <c r="A30" s="2"/>
      <c r="B30" s="43"/>
      <c r="C30" s="35">
        <f>C28+1</f>
        <v>4</v>
      </c>
      <c r="D30" s="36"/>
      <c r="E30" s="32" t="s">
        <v>36</v>
      </c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</row>
    <row r="31" spans="1:22" ht="15" customHeight="1">
      <c r="A31" s="2"/>
      <c r="B31" s="43"/>
      <c r="C31" s="37"/>
      <c r="D31" s="38"/>
      <c r="E31" s="34" t="s">
        <v>37</v>
      </c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</row>
    <row r="32" spans="1:22" ht="15" customHeight="1">
      <c r="A32" s="2"/>
      <c r="B32" s="43"/>
      <c r="C32" s="35">
        <f>C30+1</f>
        <v>5</v>
      </c>
      <c r="D32" s="36"/>
      <c r="E32" s="32" t="s">
        <v>36</v>
      </c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</row>
    <row r="33" spans="1:22" ht="15" customHeight="1">
      <c r="A33" s="2"/>
      <c r="B33" s="43"/>
      <c r="C33" s="37"/>
      <c r="D33" s="38"/>
      <c r="E33" s="34" t="s">
        <v>37</v>
      </c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</row>
    <row r="34" spans="1:22" ht="15" customHeight="1">
      <c r="A34" s="2"/>
      <c r="B34" s="43"/>
      <c r="C34" s="35">
        <f>C32+1</f>
        <v>6</v>
      </c>
      <c r="D34" s="36"/>
      <c r="E34" s="32" t="s">
        <v>36</v>
      </c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</row>
    <row r="35" spans="1:22" ht="15" customHeight="1">
      <c r="A35" s="2"/>
      <c r="B35" s="43"/>
      <c r="C35" s="37"/>
      <c r="D35" s="38"/>
      <c r="E35" s="34" t="s">
        <v>37</v>
      </c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</row>
    <row r="36" spans="1:22" ht="15" customHeight="1">
      <c r="A36" s="2"/>
      <c r="B36" s="43"/>
      <c r="C36" s="35">
        <f>C34+1</f>
        <v>7</v>
      </c>
      <c r="D36" s="36"/>
      <c r="E36" s="32" t="s">
        <v>36</v>
      </c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</row>
    <row r="37" spans="1:22" ht="15" customHeight="1">
      <c r="A37" s="2"/>
      <c r="B37" s="43"/>
      <c r="C37" s="37"/>
      <c r="D37" s="38"/>
      <c r="E37" s="34" t="s">
        <v>37</v>
      </c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</row>
    <row r="38" spans="1:22" ht="15" customHeight="1">
      <c r="A38" s="2"/>
      <c r="B38" s="43"/>
      <c r="C38" s="35">
        <f>C36+1</f>
        <v>8</v>
      </c>
      <c r="D38" s="36"/>
      <c r="E38" s="32" t="s">
        <v>36</v>
      </c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</row>
    <row r="39" spans="1:22" ht="15" customHeight="1">
      <c r="A39" s="2"/>
      <c r="B39" s="43"/>
      <c r="C39" s="37"/>
      <c r="D39" s="38"/>
      <c r="E39" s="34" t="s">
        <v>37</v>
      </c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</row>
    <row r="40" spans="1:22" ht="9.9499999999999993" customHeight="1">
      <c r="A40" s="2"/>
      <c r="B40" s="42"/>
      <c r="C40" s="45"/>
      <c r="D40" s="22"/>
      <c r="E40" s="22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7"/>
    </row>
    <row r="41" spans="1:22" ht="20.100000000000001" customHeight="1">
      <c r="B41" s="44" t="s">
        <v>38</v>
      </c>
      <c r="C41" s="22"/>
      <c r="D41" s="22" t="s">
        <v>39</v>
      </c>
      <c r="E41" s="23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</row>
    <row r="42" spans="1:22" ht="237" customHeight="1"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2"/>
    </row>
  </sheetData>
  <phoneticPr fontId="8"/>
  <printOptions horizontalCentered="1"/>
  <pageMargins left="0.27559055118110237" right="0.27559055118110237" top="0.59055118110236227" bottom="0.39370078740157483" header="0.39370078740157483" footer="0.19685039370078741"/>
  <pageSetup paperSize="9" scale="63" fitToHeight="0" orientation="landscape" r:id="rId1"/>
  <headerFooter alignWithMargins="0">
    <oddHeader>&amp;L&amp;"ＭＳ ゴシック,太字"&amp;18&amp;A</oddHeader>
    <oddFooter>&amp;L&amp;"ＭＳ Ｐゴシック,標準"&amp;9（ES0402-F01_単体テスト仕様書兼結果報告書 20161003 Ver.1.2）&amp;C&amp;"ＭＳ Ｐゴシック,標準"&amp;9&amp;P / &amp;N&amp;R&amp;"ＭＳ Ｐゴシック,標準"&amp;9Copyright© 2013 SCSK Corporation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03D68-CA36-49FB-834C-BD32397F097E}">
  <sheetPr codeName="Sheet5"/>
  <dimension ref="C3:S20"/>
  <sheetViews>
    <sheetView zoomScaleNormal="100" workbookViewId="0"/>
  </sheetViews>
  <sheetFormatPr defaultColWidth="8.875" defaultRowHeight="13.5"/>
  <cols>
    <col min="4" max="4" width="20.625" customWidth="1"/>
    <col min="5" max="5" width="29" bestFit="1" customWidth="1"/>
    <col min="6" max="7" width="17.625" bestFit="1" customWidth="1"/>
    <col min="8" max="8" width="16.875" bestFit="1" customWidth="1"/>
    <col min="9" max="9" width="11.625" bestFit="1" customWidth="1"/>
    <col min="10" max="11" width="15.5" bestFit="1" customWidth="1"/>
    <col min="12" max="13" width="17.625" bestFit="1" customWidth="1"/>
    <col min="14" max="14" width="45.625" bestFit="1" customWidth="1"/>
  </cols>
  <sheetData>
    <row r="3" spans="3:19" s="166" customFormat="1">
      <c r="C3" s="182" t="s">
        <v>47</v>
      </c>
    </row>
    <row r="4" spans="3:19" s="166" customFormat="1">
      <c r="C4" s="182" t="s">
        <v>45</v>
      </c>
    </row>
    <row r="5" spans="3:19" s="166" customFormat="1">
      <c r="C5" s="166" t="s">
        <v>559</v>
      </c>
      <c r="D5" s="166" t="s">
        <v>560</v>
      </c>
    </row>
    <row r="6" spans="3:19" s="166" customFormat="1" ht="42.75">
      <c r="C6" s="167" t="s">
        <v>561</v>
      </c>
      <c r="D6" s="167" t="s">
        <v>113</v>
      </c>
      <c r="E6" s="167" t="s">
        <v>506</v>
      </c>
      <c r="F6" s="167" t="s">
        <v>508</v>
      </c>
      <c r="G6" s="167" t="s">
        <v>112</v>
      </c>
      <c r="H6" s="167" t="s">
        <v>509</v>
      </c>
      <c r="I6" s="167" t="s">
        <v>109</v>
      </c>
      <c r="J6" s="167" t="s">
        <v>562</v>
      </c>
      <c r="K6" s="167" t="s">
        <v>563</v>
      </c>
      <c r="L6" s="167" t="s">
        <v>510</v>
      </c>
      <c r="M6" s="167" t="s">
        <v>511</v>
      </c>
      <c r="N6" s="167" t="s">
        <v>111</v>
      </c>
      <c r="O6" s="167" t="s">
        <v>124</v>
      </c>
      <c r="P6" s="167" t="s">
        <v>77</v>
      </c>
      <c r="Q6" s="167" t="s">
        <v>564</v>
      </c>
      <c r="R6" s="167" t="s">
        <v>565</v>
      </c>
      <c r="S6" s="167" t="s">
        <v>566</v>
      </c>
    </row>
    <row r="7" spans="3:19" s="166" customFormat="1" ht="28.5">
      <c r="C7" s="167" t="s">
        <v>74</v>
      </c>
      <c r="D7" s="167" t="s">
        <v>75</v>
      </c>
      <c r="E7" s="167" t="s">
        <v>75</v>
      </c>
      <c r="F7" s="167" t="s">
        <v>567</v>
      </c>
      <c r="G7" s="167" t="s">
        <v>567</v>
      </c>
      <c r="H7" s="167" t="s">
        <v>75</v>
      </c>
      <c r="I7" s="167" t="s">
        <v>567</v>
      </c>
      <c r="J7" s="167" t="s">
        <v>75</v>
      </c>
      <c r="K7" s="167" t="s">
        <v>75</v>
      </c>
      <c r="L7" s="167" t="s">
        <v>74</v>
      </c>
      <c r="M7" s="167" t="s">
        <v>74</v>
      </c>
      <c r="N7" s="167" t="s">
        <v>75</v>
      </c>
      <c r="O7" s="167" t="s">
        <v>75</v>
      </c>
      <c r="P7" s="167" t="s">
        <v>74</v>
      </c>
      <c r="Q7" s="167" t="s">
        <v>75</v>
      </c>
      <c r="R7" s="167" t="s">
        <v>75</v>
      </c>
      <c r="S7" s="167" t="s">
        <v>74</v>
      </c>
    </row>
    <row r="8" spans="3:19" s="166" customFormat="1" ht="42.75">
      <c r="C8" s="167" t="s">
        <v>568</v>
      </c>
      <c r="D8" s="167" t="s">
        <v>569</v>
      </c>
      <c r="E8" s="167" t="s">
        <v>570</v>
      </c>
      <c r="F8" s="167" t="s">
        <v>571</v>
      </c>
      <c r="G8" s="167" t="s">
        <v>572</v>
      </c>
      <c r="H8" s="167" t="s">
        <v>573</v>
      </c>
      <c r="I8" s="167" t="s">
        <v>574</v>
      </c>
      <c r="J8" s="167" t="s">
        <v>575</v>
      </c>
      <c r="K8" s="167" t="s">
        <v>576</v>
      </c>
      <c r="L8" s="167" t="s">
        <v>577</v>
      </c>
      <c r="M8" s="167" t="s">
        <v>578</v>
      </c>
      <c r="N8" s="167" t="s">
        <v>579</v>
      </c>
      <c r="O8" s="167" t="s">
        <v>580</v>
      </c>
      <c r="P8" s="167" t="s">
        <v>581</v>
      </c>
      <c r="Q8" s="167" t="s">
        <v>582</v>
      </c>
      <c r="R8" s="167" t="s">
        <v>583</v>
      </c>
      <c r="S8" s="167" t="s">
        <v>584</v>
      </c>
    </row>
    <row r="9" spans="3:19" s="166" customFormat="1">
      <c r="C9" s="169" t="s">
        <v>172</v>
      </c>
      <c r="D9" s="178" t="s">
        <v>160</v>
      </c>
      <c r="E9" s="174" t="s">
        <v>516</v>
      </c>
      <c r="F9" s="177">
        <v>46055.685567129629</v>
      </c>
      <c r="G9" s="177">
        <v>46112</v>
      </c>
      <c r="H9" s="96" t="s">
        <v>549</v>
      </c>
      <c r="I9" s="159">
        <v>46027</v>
      </c>
      <c r="J9" s="176" t="s">
        <v>157</v>
      </c>
      <c r="K9" s="174" t="s">
        <v>513</v>
      </c>
      <c r="L9" s="174">
        <v>1</v>
      </c>
      <c r="M9" s="174">
        <v>0</v>
      </c>
      <c r="N9" s="101" t="s">
        <v>145</v>
      </c>
      <c r="O9" s="101" t="s">
        <v>155</v>
      </c>
      <c r="P9" s="174">
        <v>0</v>
      </c>
      <c r="Q9" s="174"/>
      <c r="R9" s="174"/>
      <c r="S9" s="174"/>
    </row>
    <row r="10" spans="3:19" s="166" customFormat="1"/>
    <row r="11" spans="3:19" s="166" customFormat="1"/>
    <row r="12" spans="3:19" s="166" customFormat="1"/>
    <row r="13" spans="3:19" s="166" customFormat="1">
      <c r="C13" s="166" t="s">
        <v>612</v>
      </c>
    </row>
    <row r="14" spans="3:19" s="166" customFormat="1">
      <c r="C14" s="166" t="s">
        <v>613</v>
      </c>
      <c r="D14" s="166" t="s">
        <v>614</v>
      </c>
    </row>
    <row r="15" spans="3:19" s="166" customFormat="1" ht="42.75">
      <c r="C15" s="167" t="s">
        <v>109</v>
      </c>
      <c r="D15" s="167" t="s">
        <v>114</v>
      </c>
      <c r="E15" s="167" t="s">
        <v>615</v>
      </c>
      <c r="F15" s="167" t="s">
        <v>115</v>
      </c>
      <c r="G15" s="167" t="s">
        <v>616</v>
      </c>
      <c r="H15" s="167" t="s">
        <v>116</v>
      </c>
      <c r="I15" s="167" t="s">
        <v>617</v>
      </c>
      <c r="J15" s="167" t="s">
        <v>618</v>
      </c>
      <c r="K15" s="167" t="s">
        <v>117</v>
      </c>
      <c r="L15" s="167" t="s">
        <v>77</v>
      </c>
      <c r="M15" s="167" t="s">
        <v>566</v>
      </c>
    </row>
    <row r="16" spans="3:19" s="166" customFormat="1" ht="85.5">
      <c r="C16" s="167" t="s">
        <v>567</v>
      </c>
      <c r="D16" s="167" t="s">
        <v>74</v>
      </c>
      <c r="E16" s="167" t="s">
        <v>619</v>
      </c>
      <c r="F16" s="167" t="s">
        <v>74</v>
      </c>
      <c r="G16" s="167" t="s">
        <v>619</v>
      </c>
      <c r="H16" s="167" t="s">
        <v>74</v>
      </c>
      <c r="I16" s="167" t="s">
        <v>619</v>
      </c>
      <c r="J16" s="167" t="s">
        <v>74</v>
      </c>
      <c r="K16" s="167" t="s">
        <v>75</v>
      </c>
      <c r="L16" s="167" t="s">
        <v>74</v>
      </c>
      <c r="M16" s="167" t="s">
        <v>74</v>
      </c>
    </row>
    <row r="17" spans="3:13" s="166" customFormat="1" ht="28.5">
      <c r="C17" s="167" t="s">
        <v>574</v>
      </c>
      <c r="D17" s="167" t="s">
        <v>620</v>
      </c>
      <c r="E17" s="167" t="s">
        <v>621</v>
      </c>
      <c r="F17" s="167" t="s">
        <v>622</v>
      </c>
      <c r="G17" s="167" t="s">
        <v>623</v>
      </c>
      <c r="H17" s="167" t="s">
        <v>624</v>
      </c>
      <c r="I17" s="167" t="s">
        <v>625</v>
      </c>
      <c r="J17" s="167" t="s">
        <v>626</v>
      </c>
      <c r="K17" s="167" t="s">
        <v>627</v>
      </c>
      <c r="L17" s="167" t="s">
        <v>581</v>
      </c>
      <c r="M17" s="167" t="s">
        <v>584</v>
      </c>
    </row>
    <row r="18" spans="3:13" s="166" customFormat="1">
      <c r="C18" s="169" t="s">
        <v>632</v>
      </c>
      <c r="D18" s="175" t="s">
        <v>176</v>
      </c>
      <c r="E18" s="175"/>
      <c r="F18" s="175" t="s">
        <v>630</v>
      </c>
      <c r="G18" s="175"/>
      <c r="H18" s="175" t="s">
        <v>631</v>
      </c>
      <c r="I18" s="175"/>
      <c r="J18" s="175"/>
      <c r="K18" s="100" t="s">
        <v>629</v>
      </c>
      <c r="L18" s="175" t="s">
        <v>241</v>
      </c>
      <c r="M18" s="175"/>
    </row>
    <row r="19" spans="3:13" s="166" customFormat="1"/>
    <row r="20" spans="3:13" s="166" customFormat="1"/>
  </sheetData>
  <phoneticPr fontId="8"/>
  <hyperlinks>
    <hyperlink ref="K18" r:id="rId1" xr:uid="{52CDA880-CBEC-4A6A-A134-26B4413EDE96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A740709878BA5408EF596FFBAAFFA6C" ma:contentTypeVersion="11" ma:contentTypeDescription="新しいドキュメントを作成します。" ma:contentTypeScope="" ma:versionID="1a7321da3db519e5e678eef3db3451b8">
  <xsd:schema xmlns:xsd="http://www.w3.org/2001/XMLSchema" xmlns:xs="http://www.w3.org/2001/XMLSchema" xmlns:p="http://schemas.microsoft.com/office/2006/metadata/properties" xmlns:ns2="25c05856-9bdf-4c22-ab6e-2155d1bf8754" xmlns:ns3="833adb6f-a0c7-41a0-a612-fc40f281be47" targetNamespace="http://schemas.microsoft.com/office/2006/metadata/properties" ma:root="true" ma:fieldsID="af4beea3d4da84c2986867c09fad40de" ns2:_="" ns3:_="">
    <xsd:import namespace="25c05856-9bdf-4c22-ab6e-2155d1bf8754"/>
    <xsd:import namespace="833adb6f-a0c7-41a0-a612-fc40f281be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c05856-9bdf-4c22-ab6e-2155d1bf87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3adb6f-a0c7-41a0-a612-fc40f281be4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69d5b13-1d1a-48f0-a60a-57147129c68c}" ma:internalName="TaxCatchAll" ma:showField="CatchAllData" ma:web="833adb6f-a0c7-41a0-a612-fc40f281be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33adb6f-a0c7-41a0-a612-fc40f281be47" xsi:nil="true"/>
    <lcf76f155ced4ddcb4097134ff3c332f xmlns="25c05856-9bdf-4c22-ab6e-2155d1bf875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571BE0-9478-416A-A275-0EE5D7D9215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37E8C93-060A-4361-AE2A-0F5D5432AA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c05856-9bdf-4c22-ab6e-2155d1bf8754"/>
    <ds:schemaRef ds:uri="833adb6f-a0c7-41a0-a612-fc40f281be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9EFB726-B626-4119-A73F-C395FDA008A8}">
  <ds:schemaRefs>
    <ds:schemaRef ds:uri="http://schemas.microsoft.com/office/2006/metadata/properties"/>
    <ds:schemaRef ds:uri="http://schemas.microsoft.com/office/infopath/2007/PartnerControls"/>
    <ds:schemaRef ds:uri="833adb6f-a0c7-41a0-a612-fc40f281be47"/>
    <ds:schemaRef ds:uri="25c05856-9bdf-4c22-ab6e-2155d1bf8754"/>
  </ds:schemaRefs>
</ds:datastoreItem>
</file>

<file path=docMetadata/LabelInfo.xml><?xml version="1.0" encoding="utf-8"?>
<clbl:labelList xmlns:clbl="http://schemas.microsoft.com/office/2020/mipLabelMetadata">
  <clbl:label id="{60caf0c6-f7ab-4599-9bfc-105ffb086a7b}" enabled="1" method="Standard" siteId="{810d6a22-bd9b-4e2c-9654-83e34363a88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10</vt:i4>
      </vt:variant>
    </vt:vector>
  </HeadingPairs>
  <TitlesOfParts>
    <vt:vector size="18" baseType="lpstr">
      <vt:lpstr>表紙</vt:lpstr>
      <vt:lpstr>改訂履歴</vt:lpstr>
      <vt:lpstr>テスト一覧</vt:lpstr>
      <vt:lpstr>テスト仕様（No.1)</vt:lpstr>
      <vt:lpstr>テストデータDB（No.1,2）</vt:lpstr>
      <vt:lpstr>テストデータ期待値（No.1）</vt:lpstr>
      <vt:lpstr>テスト仕様（No.2）</vt:lpstr>
      <vt:lpstr>テストデータ期待値（No.2）</vt:lpstr>
      <vt:lpstr>'テスト仕様（No.1)'!Print_Area</vt:lpstr>
      <vt:lpstr>'テスト仕様（No.2）'!Print_Area</vt:lpstr>
      <vt:lpstr>表紙!Print_Area</vt:lpstr>
      <vt:lpstr>テスト一覧!Print_Titles</vt:lpstr>
      <vt:lpstr>'テスト仕様（No.1)'!Print_Titles</vt:lpstr>
      <vt:lpstr>'テスト仕様（No.2）'!Print_Titles</vt:lpstr>
      <vt:lpstr>改訂履歴!Print_Titles</vt:lpstr>
      <vt:lpstr>表紙!Print_Titles</vt:lpstr>
      <vt:lpstr>'テスト仕様（No.1)'!テストケース数シート別</vt:lpstr>
      <vt:lpstr>'テスト仕様（No.2）'!テストケース数シート別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SCSK</dc:creator>
  <cp:keywords/>
  <dc:description/>
  <cp:lastModifiedBy>閻 峰</cp:lastModifiedBy>
  <cp:revision/>
  <dcterms:created xsi:type="dcterms:W3CDTF">2013-11-22T09:46:59Z</dcterms:created>
  <dcterms:modified xsi:type="dcterms:W3CDTF">2026-05-18T01:16:02Z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0x010100AA740709878BA5408EF596FFBAAFFA6C</vt:lpwstr>
  </property>
</Properties>
</file>