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202501_finance_system\doc\100_先行開発\202604_advanced_development\01_成果物\02_オンライン\8.5.1\"/>
    </mc:Choice>
  </mc:AlternateContent>
  <xr:revisionPtr revIDLastSave="0" documentId="13_ncr:1_{5E2365B8-6BB8-4104-940B-655409C7781F}" xr6:coauthVersionLast="47" xr6:coauthVersionMax="47" xr10:uidLastSave="{00000000-0000-0000-0000-000000000000}"/>
  <bookViews>
    <workbookView xWindow="-120" yWindow="-120" windowWidth="29040" windowHeight="15720" tabRatio="803" activeTab="2" xr2:uid="{27C63BB1-11AC-49A2-A02D-12869C35CBCC}"/>
  </bookViews>
  <sheets>
    <sheet name="表紙" sheetId="9" r:id="rId1"/>
    <sheet name="改訂履歴" sheetId="10" r:id="rId2"/>
    <sheet name="テスト一覧" sheetId="34" r:id="rId3"/>
    <sheet name="テスト仕様（No.1）" sheetId="91" r:id="rId4"/>
    <sheet name="テストデータDB（No.1）" sheetId="14" r:id="rId5"/>
    <sheet name="テストデータ期待値（No.1）" sheetId="49" r:id="rId6"/>
  </sheets>
  <definedNames>
    <definedName name="_xlnm.Print_Area" localSheetId="3">'テスト仕様（No.1）'!$A$1:$AN$71</definedName>
    <definedName name="_xlnm.Print_Area" localSheetId="0">表紙!$A$1:$AW$28</definedName>
    <definedName name="_xlnm.Print_Titles" localSheetId="2">テスト一覧!$1:$1</definedName>
    <definedName name="_xlnm.Print_Titles" localSheetId="3">'テスト仕様（No.1）'!$1:$1</definedName>
    <definedName name="_xlnm.Print_Titles" localSheetId="1">改訂履歴!$1:$1</definedName>
    <definedName name="_xlnm.Print_Titles" localSheetId="0">表紙!$1:$13</definedName>
    <definedName name="テストケース数シート別" localSheetId="3">'テスト仕様（No.1）'!$C$1</definedName>
    <definedName name="テストケース数シート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91" l="1"/>
  <c r="N1" i="91"/>
  <c r="M1" i="91"/>
  <c r="L1" i="91"/>
  <c r="J1" i="91"/>
  <c r="I1" i="91"/>
  <c r="H1" i="91"/>
  <c r="G1" i="91"/>
  <c r="C4" i="91"/>
  <c r="C5" i="91" s="1"/>
  <c r="C6" i="91" s="1"/>
  <c r="C7" i="91" s="1"/>
  <c r="C8" i="91" s="1"/>
  <c r="C9" i="91" s="1"/>
  <c r="C10" i="91" s="1"/>
  <c r="C11" i="91" s="1"/>
  <c r="C12" i="91" s="1"/>
  <c r="C13" i="91" s="1"/>
  <c r="C14" i="91" s="1"/>
  <c r="C15" i="91" s="1"/>
  <c r="C16" i="91" s="1"/>
  <c r="C17" i="91" s="1"/>
  <c r="C18" i="91" s="1"/>
  <c r="C19" i="91" s="1"/>
  <c r="C20" i="91" s="1"/>
  <c r="C21" i="91" s="1"/>
  <c r="C22" i="91" s="1"/>
  <c r="C23" i="91" s="1"/>
  <c r="C24" i="91" s="1"/>
  <c r="C25" i="91" s="1"/>
  <c r="C26" i="91" s="1"/>
  <c r="C27" i="91" s="1"/>
  <c r="C28" i="91" s="1"/>
  <c r="C29" i="91" s="1"/>
  <c r="C30" i="91" s="1"/>
  <c r="C31" i="91" s="1"/>
  <c r="C35" i="91" l="1"/>
  <c r="C36" i="91" s="1"/>
  <c r="C37" i="91" s="1"/>
  <c r="C38" i="91" s="1"/>
  <c r="C39" i="91" s="1"/>
  <c r="C40" i="91" s="1"/>
  <c r="C41" i="91" s="1"/>
  <c r="C42" i="91" s="1"/>
  <c r="C43" i="91" s="1"/>
  <c r="C44" i="91" s="1"/>
  <c r="C45" i="91" s="1"/>
  <c r="C46" i="91" s="1"/>
  <c r="C47" i="91" s="1"/>
  <c r="C48" i="91" s="1"/>
  <c r="C49" i="91" s="1"/>
  <c r="C50" i="91" s="1"/>
  <c r="C51" i="91" s="1"/>
  <c r="F1" i="91"/>
  <c r="E1" i="91" s="1"/>
  <c r="C56" i="91" l="1"/>
  <c r="C58" i="91" s="1"/>
  <c r="C60" i="91" s="1"/>
  <c r="C62" i="91" s="1"/>
  <c r="C64" i="91" s="1"/>
  <c r="C66" i="91" s="1"/>
  <c r="C68" i="91" s="1"/>
  <c r="I2" i="34" a="1"/>
  <c r="I2" i="34" l="1"/>
  <c r="J2" i="34" l="1"/>
  <c r="A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SCSK</author>
  </authors>
  <commentList>
    <comment ref="E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変更の起因となった不具合管理番号、変更管理番号などを記載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<sst xmlns="http://schemas.openxmlformats.org/spreadsheetml/2006/main" count="6196" uniqueCount="1041">
  <si>
    <t>管理No.：</t>
    <rPh sb="0" eb="2">
      <t>カンリ</t>
    </rPh>
    <phoneticPr fontId="3"/>
  </si>
  <si>
    <r>
      <t xml:space="preserve">単体テスト仕様書兼結果報告書
</t>
    </r>
    <r>
      <rPr>
        <b/>
        <sz val="22"/>
        <rFont val="ＭＳ Ｐゴシック"/>
        <family val="3"/>
        <charset val="128"/>
      </rPr>
      <t>（第　版）</t>
    </r>
    <rPh sb="8" eb="9">
      <t>ケン</t>
    </rPh>
    <rPh sb="9" eb="11">
      <t>ケッカ</t>
    </rPh>
    <rPh sb="11" eb="13">
      <t>ホウコク</t>
    </rPh>
    <rPh sb="13" eb="14">
      <t>ショ</t>
    </rPh>
    <rPh sb="16" eb="17">
      <t>ダイ</t>
    </rPh>
    <rPh sb="18" eb="19">
      <t>ハン</t>
    </rPh>
    <phoneticPr fontId="3"/>
  </si>
  <si>
    <t>顧客ID</t>
    <rPh sb="0" eb="2">
      <t>コキャク</t>
    </rPh>
    <phoneticPr fontId="27"/>
  </si>
  <si>
    <t>顧客名</t>
    <rPh sb="0" eb="2">
      <t>コキャク</t>
    </rPh>
    <rPh sb="2" eb="3">
      <t>メイ</t>
    </rPh>
    <phoneticPr fontId="27"/>
  </si>
  <si>
    <t>システムID</t>
    <phoneticPr fontId="27"/>
  </si>
  <si>
    <t>システム名</t>
    <rPh sb="4" eb="5">
      <t>メイ</t>
    </rPh>
    <phoneticPr fontId="27"/>
  </si>
  <si>
    <t>サブシステムID</t>
    <phoneticPr fontId="3"/>
  </si>
  <si>
    <t>サブシステム名</t>
    <rPh sb="6" eb="7">
      <t>メイ</t>
    </rPh>
    <phoneticPr fontId="3"/>
  </si>
  <si>
    <t>機能ID</t>
    <rPh sb="0" eb="2">
      <t>キノウ</t>
    </rPh>
    <phoneticPr fontId="3"/>
  </si>
  <si>
    <t>機能名</t>
    <rPh sb="0" eb="2">
      <t>キノウ</t>
    </rPh>
    <rPh sb="2" eb="3">
      <t>メイ</t>
    </rPh>
    <phoneticPr fontId="3"/>
  </si>
  <si>
    <t>プログラムID</t>
    <phoneticPr fontId="3"/>
  </si>
  <si>
    <t>プログラム名</t>
    <rPh sb="5" eb="6">
      <t>メイ</t>
    </rPh>
    <phoneticPr fontId="3"/>
  </si>
  <si>
    <t>作成日付</t>
    <rPh sb="0" eb="2">
      <t>サクセイ</t>
    </rPh>
    <rPh sb="2" eb="4">
      <t>ヒヅケ</t>
    </rPh>
    <phoneticPr fontId="27"/>
  </si>
  <si>
    <t>作成者</t>
    <rPh sb="0" eb="3">
      <t>サクセイシャ</t>
    </rPh>
    <phoneticPr fontId="3"/>
  </si>
  <si>
    <t>最終変更日付</t>
    <rPh sb="0" eb="2">
      <t>サイシュウ</t>
    </rPh>
    <rPh sb="2" eb="4">
      <t>ヘンコウ</t>
    </rPh>
    <rPh sb="4" eb="6">
      <t>ヒヅケ</t>
    </rPh>
    <phoneticPr fontId="27"/>
  </si>
  <si>
    <t>変更者</t>
    <rPh sb="0" eb="2">
      <t>ヘンコウ</t>
    </rPh>
    <rPh sb="2" eb="3">
      <t>シャ</t>
    </rPh>
    <phoneticPr fontId="3"/>
  </si>
  <si>
    <t>確認欄</t>
    <rPh sb="0" eb="2">
      <t>カクニン</t>
    </rPh>
    <rPh sb="2" eb="3">
      <t>ラン</t>
    </rPh>
    <phoneticPr fontId="27"/>
  </si>
  <si>
    <t>印</t>
    <rPh sb="0" eb="1">
      <t>イン</t>
    </rPh>
    <phoneticPr fontId="27"/>
  </si>
  <si>
    <t>No.</t>
    <phoneticPr fontId="3"/>
  </si>
  <si>
    <t>版</t>
    <rPh sb="0" eb="1">
      <t>ハン</t>
    </rPh>
    <phoneticPr fontId="3"/>
  </si>
  <si>
    <t>変更箇所</t>
    <rPh sb="0" eb="2">
      <t>ヘンコウ</t>
    </rPh>
    <rPh sb="2" eb="4">
      <t>カショ</t>
    </rPh>
    <phoneticPr fontId="3"/>
  </si>
  <si>
    <t>変更内容</t>
    <rPh sb="0" eb="2">
      <t>ヘンコウ</t>
    </rPh>
    <rPh sb="2" eb="4">
      <t>ナイヨウ</t>
    </rPh>
    <phoneticPr fontId="3"/>
  </si>
  <si>
    <t>管理番号</t>
    <rPh sb="0" eb="2">
      <t>カンリ</t>
    </rPh>
    <rPh sb="2" eb="4">
      <t>バンゴウ</t>
    </rPh>
    <phoneticPr fontId="3"/>
  </si>
  <si>
    <t>変更者
・日付</t>
    <rPh sb="0" eb="2">
      <t>ヘンコウ</t>
    </rPh>
    <rPh sb="2" eb="3">
      <t>シャ</t>
    </rPh>
    <rPh sb="5" eb="7">
      <t>ヒヅケ</t>
    </rPh>
    <phoneticPr fontId="3"/>
  </si>
  <si>
    <t>確認者
・日付</t>
    <rPh sb="0" eb="2">
      <t>カクニン</t>
    </rPh>
    <rPh sb="2" eb="3">
      <t>シャ</t>
    </rPh>
    <rPh sb="5" eb="7">
      <t>ヒヅケ</t>
    </rPh>
    <phoneticPr fontId="3"/>
  </si>
  <si>
    <t>承認者
・日付</t>
    <rPh sb="0" eb="2">
      <t>ショウニン</t>
    </rPh>
    <rPh sb="2" eb="3">
      <t>シャ</t>
    </rPh>
    <rPh sb="5" eb="7">
      <t>ヒヅケ</t>
    </rPh>
    <phoneticPr fontId="3"/>
  </si>
  <si>
    <t>テスト観点</t>
    <rPh sb="3" eb="5">
      <t>カンテン</t>
    </rPh>
    <phoneticPr fontId="3"/>
  </si>
  <si>
    <t>想定結果</t>
    <rPh sb="0" eb="2">
      <t>ソウテイ</t>
    </rPh>
    <rPh sb="2" eb="4">
      <t>ケッカ</t>
    </rPh>
    <phoneticPr fontId="3"/>
  </si>
  <si>
    <t>エビデンス</t>
    <phoneticPr fontId="3"/>
  </si>
  <si>
    <t>確認結果</t>
    <rPh sb="0" eb="2">
      <t>カクニン</t>
    </rPh>
    <rPh sb="2" eb="4">
      <t>ケッカ</t>
    </rPh>
    <phoneticPr fontId="3"/>
  </si>
  <si>
    <t>テストケースＮｏ．</t>
    <phoneticPr fontId="7"/>
  </si>
  <si>
    <t>件数：</t>
    <rPh sb="0" eb="2">
      <t>ケンスウ</t>
    </rPh>
    <phoneticPr fontId="3"/>
  </si>
  <si>
    <t>№</t>
    <phoneticPr fontId="3"/>
  </si>
  <si>
    <t>テストケース条件内容</t>
    <rPh sb="8" eb="10">
      <t>ナイヨウ</t>
    </rPh>
    <phoneticPr fontId="3"/>
  </si>
  <si>
    <t>テストケース条件</t>
    <rPh sb="6" eb="8">
      <t>ジョウケン</t>
    </rPh>
    <phoneticPr fontId="7"/>
  </si>
  <si>
    <t>確認項目内容</t>
    <rPh sb="0" eb="2">
      <t>カクニン</t>
    </rPh>
    <rPh sb="2" eb="4">
      <t>コウモク</t>
    </rPh>
    <rPh sb="4" eb="6">
      <t>ナイヨウ</t>
    </rPh>
    <phoneticPr fontId="3"/>
  </si>
  <si>
    <t>エビデンス内容</t>
    <rPh sb="5" eb="7">
      <t>ナイヨウ</t>
    </rPh>
    <phoneticPr fontId="3"/>
  </si>
  <si>
    <t>I</t>
    <phoneticPr fontId="3"/>
  </si>
  <si>
    <t>O</t>
    <phoneticPr fontId="3"/>
  </si>
  <si>
    <t>確認結果</t>
    <phoneticPr fontId="3"/>
  </si>
  <si>
    <t>チェック欄</t>
    <rPh sb="4" eb="5">
      <t>ラン</t>
    </rPh>
    <phoneticPr fontId="3"/>
  </si>
  <si>
    <t>削除区分</t>
  </si>
  <si>
    <t>排他カウンタ</t>
  </si>
  <si>
    <t>作成日時</t>
  </si>
  <si>
    <t>最終更新日時</t>
  </si>
  <si>
    <t>最終更新者ユーザーＩＤ</t>
  </si>
  <si>
    <t>入力日時</t>
  </si>
  <si>
    <t>承認日時</t>
  </si>
  <si>
    <t>適用開始日</t>
  </si>
  <si>
    <t>適用終了日</t>
  </si>
  <si>
    <t>申請番号</t>
  </si>
  <si>
    <t>SAKZYO_KBN</t>
  </si>
  <si>
    <t>HAITA_CNT</t>
  </si>
  <si>
    <t>SAKSE_DTM</t>
  </si>
  <si>
    <t>LSTUPD_DTM</t>
  </si>
  <si>
    <t>LSTUPD_USER_ID</t>
  </si>
  <si>
    <t>NYURYOKU_DTM</t>
  </si>
  <si>
    <t>NYURYOKU_USER_ID</t>
  </si>
  <si>
    <t>SHONIN_DTM</t>
  </si>
  <si>
    <t>SHONIN_USER_ID</t>
  </si>
  <si>
    <t>TEKIYO_KAISHIBI</t>
  </si>
  <si>
    <t>TEKIYO_SHURYOBI</t>
  </si>
  <si>
    <t>SHINSEI_NO</t>
  </si>
  <si>
    <t>差戻コメント</t>
  </si>
  <si>
    <t>SHONIN_JOKYO_KBN</t>
  </si>
  <si>
    <t>SASHIMODOSHI_COMMENT</t>
  </si>
  <si>
    <t>事業所コード</t>
  </si>
  <si>
    <t>JIGYOSHO_CD</t>
  </si>
  <si>
    <t>郵便番号</t>
  </si>
  <si>
    <t>YUBIN_NO</t>
  </si>
  <si>
    <t>Y</t>
    <phoneticPr fontId="3"/>
  </si>
  <si>
    <t>〇</t>
  </si>
  <si>
    <t>前提条件</t>
    <rPh sb="0" eb="2">
      <t>ゼンテイ</t>
    </rPh>
    <rPh sb="2" eb="4">
      <t>ジョウケン</t>
    </rPh>
    <phoneticPr fontId="3"/>
  </si>
  <si>
    <t>・メソッドが内部設計通りに動作すること</t>
  </si>
  <si>
    <t>データパターン備考</t>
  </si>
  <si>
    <t>所属コード</t>
  </si>
  <si>
    <t>NULL</t>
    <phoneticPr fontId="3"/>
  </si>
  <si>
    <t>0002</t>
  </si>
  <si>
    <t>0003</t>
  </si>
  <si>
    <t>最終更新者ユーザーID</t>
  </si>
  <si>
    <t>入力者ユーザーID</t>
  </si>
  <si>
    <t>承認者ユーザーID</t>
  </si>
  <si>
    <t>適用開始年月日</t>
  </si>
  <si>
    <t>適用終了年月日</t>
  </si>
  <si>
    <t>組織コード</t>
  </si>
  <si>
    <t>組織代表アドレス</t>
  </si>
  <si>
    <t>住所コード</t>
  </si>
  <si>
    <t>住所（漢字）</t>
  </si>
  <si>
    <t>住所（カナ）</t>
  </si>
  <si>
    <t>番地（漢字）</t>
  </si>
  <si>
    <t>番地（カナ）</t>
  </si>
  <si>
    <t>建物名（漢字）</t>
  </si>
  <si>
    <t>建物名（カナ）</t>
  </si>
  <si>
    <t>電話市外局番</t>
  </si>
  <si>
    <t>電話市内局番</t>
  </si>
  <si>
    <t>電話加入者番号</t>
  </si>
  <si>
    <t>SOSHIKI_CD</t>
  </si>
  <si>
    <t>SOSHIKI_MAILADDR</t>
  </si>
  <si>
    <t>JUSHO_CD</t>
  </si>
  <si>
    <t>JUSHO_KJ</t>
  </si>
  <si>
    <t>JUSHO_KN</t>
  </si>
  <si>
    <t>JUSHO_BANCHI_KJ</t>
  </si>
  <si>
    <t>JUSHO_BANCHI_KN</t>
  </si>
  <si>
    <t>JUSHO_TATMN_KJ</t>
  </si>
  <si>
    <t>JUSHO_TATMN_KN</t>
  </si>
  <si>
    <t>TEL_SHIGAI_NO</t>
  </si>
  <si>
    <t>TEL_SHINAI_NO</t>
  </si>
  <si>
    <t>TEL_NO</t>
  </si>
  <si>
    <t>FAX_SHIGAI_NO</t>
  </si>
  <si>
    <t>FAX_SHINAI_NO</t>
  </si>
  <si>
    <t>FAX_NO</t>
  </si>
  <si>
    <t>01</t>
    <phoneticPr fontId="3"/>
  </si>
  <si>
    <t>02</t>
  </si>
  <si>
    <t>03</t>
  </si>
  <si>
    <t>04</t>
  </si>
  <si>
    <t>05</t>
  </si>
  <si>
    <t>07</t>
  </si>
  <si>
    <t>10</t>
  </si>
  <si>
    <t>0004</t>
  </si>
  <si>
    <t>0005</t>
  </si>
  <si>
    <t>0006</t>
  </si>
  <si>
    <t>12</t>
    <phoneticPr fontId="3"/>
  </si>
  <si>
    <t>テストパターンNo</t>
    <phoneticPr fontId="3"/>
  </si>
  <si>
    <t>検索条件なしの全件検索</t>
    <rPh sb="0" eb="2">
      <t>ケンサク</t>
    </rPh>
    <rPh sb="2" eb="4">
      <t>ジョウケン</t>
    </rPh>
    <rPh sb="7" eb="9">
      <t>ゼンケン</t>
    </rPh>
    <rPh sb="9" eb="11">
      <t>ケンサク</t>
    </rPh>
    <phoneticPr fontId="3"/>
  </si>
  <si>
    <t>全条件指定</t>
    <rPh sb="0" eb="1">
      <t>ゼン</t>
    </rPh>
    <rPh sb="1" eb="3">
      <t>ジョウケン</t>
    </rPh>
    <rPh sb="3" eb="5">
      <t>シテイ</t>
    </rPh>
    <phoneticPr fontId="3"/>
  </si>
  <si>
    <t>JUnitで確認</t>
  </si>
  <si>
    <t xml:space="preserve">・Mapperの処理分岐
・SELECT文のSELECT句
・SELECT文のWHERE句
・SELECT文の結合条件(JOIN)
・SELECT文の集約条件 (GROUP BY)
・SELECT文のORDER BY句
</t>
  </si>
  <si>
    <t>確認項目　※詳細は「単体テスト観点」を参照</t>
    <rPh sb="0" eb="2">
      <t>カクニン</t>
    </rPh>
    <rPh sb="2" eb="4">
      <t>コウモク</t>
    </rPh>
    <rPh sb="6" eb="8">
      <t>ショウサイ</t>
    </rPh>
    <rPh sb="10" eb="12">
      <t>タンタイ</t>
    </rPh>
    <rPh sb="15" eb="17">
      <t>カンテン</t>
    </rPh>
    <rPh sb="19" eb="21">
      <t>サンショウ</t>
    </rPh>
    <phoneticPr fontId="3"/>
  </si>
  <si>
    <t>テストパターン数</t>
    <rPh sb="7" eb="8">
      <t>スウ</t>
    </rPh>
    <phoneticPr fontId="3"/>
  </si>
  <si>
    <t>テストパターン数合計</t>
    <rPh sb="7" eb="8">
      <t>スウ</t>
    </rPh>
    <rPh sb="8" eb="10">
      <t>ゴウケイ</t>
    </rPh>
    <phoneticPr fontId="3"/>
  </si>
  <si>
    <t>parameterType</t>
    <phoneticPr fontId="3"/>
  </si>
  <si>
    <t>resultType</t>
    <phoneticPr fontId="3"/>
  </si>
  <si>
    <t>NULL以外</t>
    <rPh sb="4" eb="6">
      <t>イガイ</t>
    </rPh>
    <phoneticPr fontId="3"/>
  </si>
  <si>
    <t>入力/期待値</t>
    <rPh sb="0" eb="2">
      <t>ニュウリョク</t>
    </rPh>
    <rPh sb="3" eb="6">
      <t>キタイチ</t>
    </rPh>
    <phoneticPr fontId="3"/>
  </si>
  <si>
    <t>テストケース</t>
    <phoneticPr fontId="3"/>
  </si>
  <si>
    <t>テストパターン</t>
    <phoneticPr fontId="3"/>
  </si>
  <si>
    <t>input</t>
    <phoneticPr fontId="3"/>
  </si>
  <si>
    <t>expected</t>
    <phoneticPr fontId="3"/>
  </si>
  <si>
    <t>dto</t>
    <phoneticPr fontId="3"/>
  </si>
  <si>
    <t>種別</t>
    <rPh sb="0" eb="2">
      <t>シュベツ</t>
    </rPh>
    <phoneticPr fontId="3"/>
  </si>
  <si>
    <t>table</t>
    <phoneticPr fontId="3"/>
  </si>
  <si>
    <t>ALL</t>
    <phoneticPr fontId="3"/>
  </si>
  <si>
    <t>物理名</t>
    <rPh sb="0" eb="3">
      <t>ブツリメイ</t>
    </rPh>
    <phoneticPr fontId="3"/>
  </si>
  <si>
    <t>論理名</t>
    <rPh sb="0" eb="3">
      <t>ロンリメイ</t>
    </rPh>
    <phoneticPr fontId="3"/>
  </si>
  <si>
    <t>CDSBT_CD</t>
  </si>
  <si>
    <t>0</t>
  </si>
  <si>
    <t>1</t>
  </si>
  <si>
    <t>CODE_MEI_KN</t>
  </si>
  <si>
    <t>CODE_MEI_ES</t>
  </si>
  <si>
    <t xml:space="preserve">1    </t>
  </si>
  <si>
    <t xml:space="preserve">2    </t>
  </si>
  <si>
    <t xml:space="preserve">3    </t>
  </si>
  <si>
    <t xml:space="preserve">5    </t>
  </si>
  <si>
    <t xml:space="preserve">6    </t>
  </si>
  <si>
    <t>ACCOUNT</t>
  </si>
  <si>
    <t>SHOKUIN_NO</t>
  </si>
  <si>
    <t>SEI_KJ</t>
  </si>
  <si>
    <t>MEI_KJ</t>
  </si>
  <si>
    <t>HYOJIMEI_KJ</t>
  </si>
  <si>
    <t>SEI_ZENKAKU_KN</t>
  </si>
  <si>
    <t>MEI_ZENKAKU_KN</t>
  </si>
  <si>
    <t>HYOJIMEI_ZENKAKU_KN</t>
  </si>
  <si>
    <t>SEI_HANKAKU_KN</t>
  </si>
  <si>
    <t>MEI_HANKAKU_KN</t>
  </si>
  <si>
    <t>HYOJIMEI_HANKAKU_KN</t>
  </si>
  <si>
    <t>SHISUTEMU_KENGEN_CD</t>
  </si>
  <si>
    <t>KOUBAIYOU_SHISUTEMU_KENGEN_CD</t>
  </si>
  <si>
    <t>SHOKUIN_ADRESU_HYOJI_KBN</t>
  </si>
  <si>
    <t>SHOKUIN_ADRESU_HYOJIJUN</t>
  </si>
  <si>
    <t>ZENKAI_POTARU_SHIYO_KBN</t>
  </si>
  <si>
    <t>SHOKUIN_KBN</t>
  </si>
  <si>
    <t>SHOKUSHI</t>
  </si>
  <si>
    <t>SHOZOKU_SHUMU_CD</t>
  </si>
  <si>
    <t>SYOKUI_SHUMU_CD</t>
  </si>
  <si>
    <t>ZIGYOSYO_SHUMU_CD</t>
  </si>
  <si>
    <t>JIGYOHNB_SHUMU_CD</t>
  </si>
  <si>
    <t>BU_SHUMU_CD</t>
  </si>
  <si>
    <t>KA_SHUMU_CD</t>
  </si>
  <si>
    <t>SISETU_SHUMU_CD</t>
  </si>
  <si>
    <t>SISETU_KA_SHUMU_CD</t>
  </si>
  <si>
    <t>SHOZOKU_KENMU_1_CD</t>
  </si>
  <si>
    <t>SYOKUI_KENMU_1_CD</t>
  </si>
  <si>
    <t>ZIGYOSYO_KENMU_1_CD</t>
  </si>
  <si>
    <t>JIGYOHNB_KENMU_1_CD</t>
  </si>
  <si>
    <t>BU_KENMU_1_CD</t>
  </si>
  <si>
    <t>KA_KENMU_1_CD</t>
  </si>
  <si>
    <t>SISETU_KENMU_1_CD</t>
  </si>
  <si>
    <t>SISETU_KA_KENMU_1_CD</t>
  </si>
  <si>
    <t>SHOZOKU_KENMU_2_CD</t>
  </si>
  <si>
    <t>SYOKUI_KENMU_2_CD</t>
  </si>
  <si>
    <t>ZIGYOSYO_KENMU_2_CD</t>
  </si>
  <si>
    <t>JIGYOHNB_KENMU_2_CD</t>
  </si>
  <si>
    <t>BU_KENMU_2_CD</t>
  </si>
  <si>
    <t>KA_KENMU_2_CD</t>
  </si>
  <si>
    <t>SISETU_KENMU_2_CD</t>
  </si>
  <si>
    <t>SISETU_KA_KENMU_2_CD</t>
  </si>
  <si>
    <t>SHOZOKU_KENMU_3_CD</t>
  </si>
  <si>
    <t>SYOKUI_KENMU_3_CD</t>
  </si>
  <si>
    <t>ZIGYOSYO_KENMU_3_CD</t>
  </si>
  <si>
    <t>JIGYOHNB_KENMU_3_CD</t>
  </si>
  <si>
    <t>BU_KENMU_3_CD</t>
  </si>
  <si>
    <t>KA_KENMU_3_CD</t>
  </si>
  <si>
    <t>SISETU_KENMU_3_CD</t>
  </si>
  <si>
    <t>SISETU_KA_KENMU_3_CD</t>
  </si>
  <si>
    <t>SYUKOSAKI_CD</t>
  </si>
  <si>
    <t>SYUKOSAKI_NAME</t>
  </si>
  <si>
    <t>SYUKOSAKI_YKM</t>
  </si>
  <si>
    <t>TAISHOKUBI</t>
  </si>
  <si>
    <t>MAIL_ADDRESS_BUNRUI</t>
  </si>
  <si>
    <t>MAIL_ADDRESS</t>
  </si>
  <si>
    <t>MAIL_ADDRESS_HENKO_YOTEI</t>
  </si>
  <si>
    <t>KYU_SEIMEI_SHIYO_KBN</t>
  </si>
  <si>
    <t>KYU_KJ_SHIMEI_SEI</t>
  </si>
  <si>
    <t>KYU_KJ_SHIMEI_MEI</t>
  </si>
  <si>
    <t>KYU_KN_SHIMEI_SEI</t>
  </si>
  <si>
    <t>KYU_KN_SHIMEI_MEI</t>
  </si>
  <si>
    <t>KYU_SEIMEI_HENKOBI</t>
  </si>
  <si>
    <t>SHOZOKU_KA_IGAI_1_CD</t>
  </si>
  <si>
    <t>JIGYOSHO_SHOZOKU_KA_IGAI_1_CD</t>
  </si>
  <si>
    <t>JIGYOHNB_SHOZOKU_KA_IGAI_1_CD</t>
  </si>
  <si>
    <t>BU_SHOZOKU_KA_IGAI_1_CD</t>
  </si>
  <si>
    <t>KA_SHOZOKU_KA_IGAI_1_CD</t>
  </si>
  <si>
    <t>SHIST_SHOZOKU_KA_IGAI_1_CD</t>
  </si>
  <si>
    <t>SHIST_KA_CD__SHOZOKU_KA_IGAI_1</t>
  </si>
  <si>
    <t>FILE_KYOYU_YOHI_SHOZOKU_KA_IGAI_1</t>
  </si>
  <si>
    <t>TEKIYO_KAISHIBI_SHOZOKU_KA_IGAI_1</t>
  </si>
  <si>
    <t>TEKIYO_SHURYOBI_SHOZOKU_KA_IGAI_1</t>
  </si>
  <si>
    <t>SHOZOKU_KA_IGAI_2_CD</t>
  </si>
  <si>
    <t>JIGYOSHO_SHOZOKU_KA_IGAI_2_CD</t>
  </si>
  <si>
    <t>JIGYOHNB_SHOZOKU_KA_IGAI_2_CD</t>
  </si>
  <si>
    <t>BU_SHOZOKU_KA_IGAI_2_CD</t>
  </si>
  <si>
    <t>KA_SHOZOKU_KA_IGAI_2_CD</t>
  </si>
  <si>
    <t>SHIST_SHOZOKU_KA_IGAI_2_CD</t>
  </si>
  <si>
    <t>SHIST_KA_CD__SHOZOKU_KA_IGAI_2</t>
  </si>
  <si>
    <t>FILE_KYOYU_YOHI_SHOZOKU_KA_IGAI_2</t>
  </si>
  <si>
    <t>TEKIYO_KAISHIBI_SHOZOKU_KA_IGAI_2</t>
  </si>
  <si>
    <t>TEKIYO_SHURYOBI_SHOZOKU_KA_IGAI_2</t>
  </si>
  <si>
    <t>SHOZOKU_KA_IGAI_3_CD</t>
  </si>
  <si>
    <t>JIGYOSHO_SHOZOKU_KA_IGAI_3_CD</t>
  </si>
  <si>
    <t>JIGYOHNB_SHOZOKU_KA_IGAI_3_CD</t>
  </si>
  <si>
    <t>BU_SHOZOKU_KA_IGAI_3_CD</t>
  </si>
  <si>
    <t>KA_SHOZOKU_KA_IGAI_3_CD</t>
  </si>
  <si>
    <t>SHIST_SHOZOKU_KA_IGAI_3_CD</t>
  </si>
  <si>
    <t>SHIST_KA_CD__SHOZOKU_KA_IGAI_3</t>
  </si>
  <si>
    <t>FILE_KYOYU_YOHI_SHOZOKU_KA_IGAI_3</t>
  </si>
  <si>
    <t>TEKIYO_KAISHIBI_SHOZOKU_KA_IGAI_3</t>
  </si>
  <si>
    <t>TEKIYO_SHURYOBI_SHOZOKU_KA_IGAI_3</t>
  </si>
  <si>
    <t>KAKUNOSAKI_OU</t>
  </si>
  <si>
    <t>SETSUMEI</t>
  </si>
  <si>
    <t>USER_LOGON_MEI</t>
  </si>
  <si>
    <t>USER_LOGON_MEI_WINDOWS2000_YORIMAE</t>
  </si>
  <si>
    <t>LOGON_SAKI_COMPUTER_MEI</t>
  </si>
  <si>
    <t>ACCOUNT_YUKO</t>
  </si>
  <si>
    <t>ACCOUNT_KIGEN</t>
  </si>
  <si>
    <t>YAKUSHOKU</t>
  </si>
  <si>
    <t>GROUPWARE_SHIYO_KBN</t>
  </si>
  <si>
    <t>KEITAI_NO</t>
  </si>
  <si>
    <t>EXTENSION_ATTRIBUTE_1</t>
  </si>
  <si>
    <t>EXTENSION_ATTRIBUTE_10</t>
  </si>
  <si>
    <t>MAIL_NICK_NAME</t>
  </si>
  <si>
    <t>2</t>
  </si>
  <si>
    <t>01</t>
  </si>
  <si>
    <t>3</t>
  </si>
  <si>
    <t>コード種別コード</t>
  </si>
  <si>
    <t>コード名称（漢字）</t>
  </si>
  <si>
    <t>コード名称（カナ）</t>
  </si>
  <si>
    <t>コード名称（英数）</t>
  </si>
  <si>
    <t>職員番号</t>
  </si>
  <si>
    <t>姓（漢字）</t>
  </si>
  <si>
    <t>名（漢字）</t>
  </si>
  <si>
    <t>表示名（漢字）</t>
  </si>
  <si>
    <t>姓（全角カナ）</t>
  </si>
  <si>
    <t>名（全角カナ）</t>
  </si>
  <si>
    <t>表示名（全角カナ）</t>
  </si>
  <si>
    <t>姓（半角カナ）</t>
  </si>
  <si>
    <t>名（半角カナ）</t>
  </si>
  <si>
    <t>表示名（半角カナ）</t>
  </si>
  <si>
    <t>職員アドレス表示区分</t>
  </si>
  <si>
    <t>職員アドレス表示順</t>
  </si>
  <si>
    <t>全会ポータル使用区分</t>
  </si>
  <si>
    <t>職員区分</t>
  </si>
  <si>
    <t>旧姓変更日</t>
  </si>
  <si>
    <t>所属コード（所属課以外１）</t>
  </si>
  <si>
    <t>事業所コード（所属課以外１）</t>
  </si>
  <si>
    <t>事業本部コード（所属課以外１）</t>
  </si>
  <si>
    <t>部コード（所属課以外１）</t>
  </si>
  <si>
    <t>課コード（所属課以外１）</t>
  </si>
  <si>
    <t>施設コード（所属課以外１）</t>
  </si>
  <si>
    <t>施設課コード（所属課以外１）</t>
  </si>
  <si>
    <t>ファイル共有要否（所属課以外１）</t>
  </si>
  <si>
    <t>適用開始年月日（所属課以外１）</t>
  </si>
  <si>
    <t>適用終了年月日（所属課以外１）</t>
  </si>
  <si>
    <t>所属コード（所属課以外２）</t>
  </si>
  <si>
    <t>事業所コード（所属課以外２）</t>
  </si>
  <si>
    <t>事業本部コード（所属課以外２）</t>
  </si>
  <si>
    <t>部コード（所属課以外２）</t>
  </si>
  <si>
    <t>課コード（所属課以外２）</t>
  </si>
  <si>
    <t>施設コード（所属課以外２）</t>
  </si>
  <si>
    <t>施設課コード（所属課以外２）</t>
  </si>
  <si>
    <t>ファイル共有要否（所属課以外２）</t>
  </si>
  <si>
    <t>適用開始年月日（所属課以外２）</t>
  </si>
  <si>
    <t>適用終了年月日（所属課以外２）</t>
  </si>
  <si>
    <t>所属コード（所属課以外３）</t>
  </si>
  <si>
    <t>事業所コード（所属課以外３）</t>
  </si>
  <si>
    <t>事業本部コード（所属課以外３）</t>
  </si>
  <si>
    <t>部コード（所属課以外３）</t>
  </si>
  <si>
    <t>課コード（所属課以外３）</t>
  </si>
  <si>
    <t>施設コード（所属課以外３）</t>
  </si>
  <si>
    <t>施設課コード（所属課以外３）</t>
  </si>
  <si>
    <t>ファイル共有要否（所属課以外３）</t>
  </si>
  <si>
    <t>適用開始年月日（所属課以外３）</t>
  </si>
  <si>
    <t>適用終了年月日（所属課以外３）</t>
  </si>
  <si>
    <t>格納先ＯＵ</t>
  </si>
  <si>
    <t>説明</t>
  </si>
  <si>
    <t>ユーザーログオン名</t>
  </si>
  <si>
    <t>ユーザーログオン名(Windows 2000より前)</t>
  </si>
  <si>
    <t>ログオン先コンピューター名</t>
  </si>
  <si>
    <t>アカウント有効</t>
  </si>
  <si>
    <t>アカウントの期限</t>
  </si>
  <si>
    <t>役職</t>
  </si>
  <si>
    <t>グループウェア使用可否</t>
  </si>
  <si>
    <t>携帯電話番号</t>
  </si>
  <si>
    <t>Extension Attribute 1</t>
  </si>
  <si>
    <t>Extension Attribute 10</t>
  </si>
  <si>
    <t>mailNickname</t>
  </si>
  <si>
    <t>対象テストNo</t>
    <phoneticPr fontId="3"/>
  </si>
  <si>
    <t>一覧明細入力区分コード</t>
  </si>
  <si>
    <t>一覧明細入力区分コード</t>
    <phoneticPr fontId="3"/>
  </si>
  <si>
    <t xml:space="preserve"> 給与個所コード</t>
    <phoneticPr fontId="3"/>
  </si>
  <si>
    <t xml:space="preserve"> 科目分類コード</t>
    <phoneticPr fontId="3"/>
  </si>
  <si>
    <t xml:space="preserve"> 科目区分コード</t>
    <rPh sb="1" eb="3">
      <t>カモク</t>
    </rPh>
    <rPh sb="3" eb="5">
      <t>クブン</t>
    </rPh>
    <phoneticPr fontId="3"/>
  </si>
  <si>
    <t xml:space="preserve"> 業種コード</t>
    <rPh sb="1" eb="3">
      <t>ギョウシュ</t>
    </rPh>
    <phoneticPr fontId="3"/>
  </si>
  <si>
    <t>入力区分.給与支給・給与控除</t>
    <phoneticPr fontId="3"/>
  </si>
  <si>
    <t>入力区分.給与支給・給与控除以外</t>
    <rPh sb="14" eb="16">
      <t>イガイ</t>
    </rPh>
    <phoneticPr fontId="3"/>
  </si>
  <si>
    <t>テストデータ期待値（No.1）シートNo.1の人件費情報基本入力一覧明細Dtoと同様のデータが返却されること</t>
    <rPh sb="47" eb="49">
      <t>ヘンキャク</t>
    </rPh>
    <phoneticPr fontId="3"/>
  </si>
  <si>
    <t>テストデータ期待値（No.1）シートNo.2の人件費情報基本入力一覧明細Dtoと同様のデータが返却されること</t>
    <rPh sb="47" eb="49">
      <t>ヘンキャク</t>
    </rPh>
    <phoneticPr fontId="3"/>
  </si>
  <si>
    <t>テストデータ期待値（No.1）シートNo.3の人件費情報基本入力一覧明細Dtoと同様のデータが返却されること</t>
    <rPh sb="47" eb="49">
      <t>ヘンキャク</t>
    </rPh>
    <phoneticPr fontId="3"/>
  </si>
  <si>
    <t>テストデータ期待値（No.1）シートNo.4の人件費情報基本入力一覧明細Dtoと同様のデータが返却されること</t>
    <rPh sb="47" eb="49">
      <t>ヘンキャク</t>
    </rPh>
    <phoneticPr fontId="3"/>
  </si>
  <si>
    <t>テストデータ期待値（No.1）シートNo.5の人件費情報基本入力一覧明細Dtoと同様のデータが返却されること</t>
    <rPh sb="47" eb="49">
      <t>ヘンキャク</t>
    </rPh>
    <phoneticPr fontId="3"/>
  </si>
  <si>
    <t>テストデータ期待値（No.1）シートNo.6の人件費情報基本入力一覧明細Dtoと同様のデータが返却されること</t>
    <rPh sb="47" eb="49">
      <t>ヘンキャク</t>
    </rPh>
    <phoneticPr fontId="3"/>
  </si>
  <si>
    <t>テストデータ期待値（No.1）シートNo.7の人件費情報基本入力一覧明細Dtoと同様のデータが返却されること</t>
    <rPh sb="47" eb="49">
      <t>ヘンキャク</t>
    </rPh>
    <phoneticPr fontId="3"/>
  </si>
  <si>
    <t>テストデータ期待値（No.1）シートNo.8の人件費情報基本入力一覧明細Dtoと同様のデータが返却されること</t>
    <rPh sb="47" eb="49">
      <t>ヘンキャク</t>
    </rPh>
    <phoneticPr fontId="3"/>
  </si>
  <si>
    <t>テストデータ期待値（No.1）シートNo.9の人件費情報基本入力一覧明細Dtoと同様のデータが返却されること</t>
    <rPh sb="47" eb="49">
      <t>ヘンキャク</t>
    </rPh>
    <phoneticPr fontId="3"/>
  </si>
  <si>
    <t>〇</t>
    <phoneticPr fontId="3"/>
  </si>
  <si>
    <t>人件費情報基本入力検索条件Dto</t>
  </si>
  <si>
    <t>DAC2015_LaborCostInfoEntryBasicInputSearchDto</t>
  </si>
  <si>
    <t>人件費情報基本入力一覧明細Dto</t>
  </si>
  <si>
    <t>DAC2015_LaborCostInfoEntryBasicInputListDetailDto</t>
  </si>
  <si>
    <t>選択ＩＤ</t>
  </si>
  <si>
    <t>支給日</t>
  </si>
  <si>
    <t>入力区分コード</t>
  </si>
  <si>
    <t>入力区分名称</t>
  </si>
  <si>
    <t>給与区分コード</t>
  </si>
  <si>
    <t>給与区分名称</t>
  </si>
  <si>
    <t>給与個所コード</t>
  </si>
  <si>
    <t>給与個所名称</t>
  </si>
  <si>
    <t>科目分類コード</t>
  </si>
  <si>
    <t>科目分類名称</t>
  </si>
  <si>
    <t>科目区分コード</t>
  </si>
  <si>
    <t>科目区分名称</t>
  </si>
  <si>
    <t>業種コード</t>
  </si>
  <si>
    <t>業種名称</t>
  </si>
  <si>
    <t>所属名称</t>
  </si>
  <si>
    <t>更新者</t>
  </si>
  <si>
    <t>更新日</t>
  </si>
  <si>
    <t>支払先区分</t>
  </si>
  <si>
    <t>支払先コード</t>
  </si>
  <si>
    <t>支払先名称</t>
  </si>
  <si>
    <t>支払予定日</t>
  </si>
  <si>
    <t>selectionId</t>
  </si>
  <si>
    <t>shikyubi</t>
  </si>
  <si>
    <t>nyuryokuKbnCd</t>
  </si>
  <si>
    <t>nyuryokuKbnMeisho</t>
  </si>
  <si>
    <t>kyuyoKbnCd</t>
  </si>
  <si>
    <t>kyuyoKbnMeisho</t>
  </si>
  <si>
    <t>kyuyoKashoCd</t>
  </si>
  <si>
    <t>kyuyoKashoMeisho</t>
  </si>
  <si>
    <t>kamokuBunruiCd</t>
  </si>
  <si>
    <t>kamokuBunruiMeisho</t>
  </si>
  <si>
    <t>kamokuKbnCd</t>
  </si>
  <si>
    <t>kamokuKbnMeisho</t>
  </si>
  <si>
    <t>gyoshuCd</t>
  </si>
  <si>
    <t>gyoshuMeisho</t>
  </si>
  <si>
    <t>shozokuCd</t>
  </si>
  <si>
    <t>shozokuMeisho</t>
  </si>
  <si>
    <t>koshinsha</t>
  </si>
  <si>
    <t>koshinbi</t>
  </si>
  <si>
    <t>shiharaisakiKbn</t>
  </si>
  <si>
    <t>shiharaisakiCd</t>
  </si>
  <si>
    <t>shiharaisakiMeisho</t>
  </si>
  <si>
    <t>shiharaiYoteibi</t>
  </si>
  <si>
    <t>Integer</t>
  </si>
  <si>
    <t>LocalDate</t>
  </si>
  <si>
    <t>String</t>
  </si>
  <si>
    <t>null</t>
    <phoneticPr fontId="27"/>
  </si>
  <si>
    <t>listDetailNyuryokuKbnCd</t>
  </si>
  <si>
    <t>引数の人件費情報基本入力検索条件Dto.一覧明細入力区分コードと完全一致するデータが返却されること</t>
    <phoneticPr fontId="3"/>
  </si>
  <si>
    <t>引数の人件費情報基本入力検索条件Dto. 入力区分コードと完全一致するデータが返却されること</t>
    <phoneticPr fontId="3"/>
  </si>
  <si>
    <t>引数の人件費情報基本入力検索条件Dto.給与個所コードと完全一致するデータが返却されること</t>
    <phoneticPr fontId="3"/>
  </si>
  <si>
    <t>引数の人件費情報基本入力検索条件Dto.科目分類コードと完全一致するデータが返却されること</t>
    <phoneticPr fontId="3"/>
  </si>
  <si>
    <t xml:space="preserve"> 入力区分コード</t>
    <rPh sb="1" eb="3">
      <t>ニュウリョク</t>
    </rPh>
    <rPh sb="3" eb="5">
      <t>クブン</t>
    </rPh>
    <phoneticPr fontId="3"/>
  </si>
  <si>
    <t>引数の人件費情報基本入力検索条件Dto. 科目区分コードと完全一致するデータが返却されること</t>
    <phoneticPr fontId="3"/>
  </si>
  <si>
    <t>引数の人件費情報基本入力検索条件Dto.業種コードと完全一致するデータが返却されること</t>
    <phoneticPr fontId="3"/>
  </si>
  <si>
    <t xml:space="preserve"> 所属コード</t>
    <phoneticPr fontId="3"/>
  </si>
  <si>
    <t>引数の人件費情報基本入力検索条件Dto.所属コードと完全一致するデータが返却されること</t>
    <phoneticPr fontId="3"/>
  </si>
  <si>
    <t>DEV_DA.DAC213_JinkenhiJohoNyuryoku</t>
    <phoneticPr fontId="3"/>
  </si>
  <si>
    <t>人件費情報入力</t>
    <phoneticPr fontId="3"/>
  </si>
  <si>
    <t>入力区分</t>
  </si>
  <si>
    <t>人件費科目区分</t>
  </si>
  <si>
    <t>金額</t>
  </si>
  <si>
    <t>人件費科目分類補助コード</t>
  </si>
  <si>
    <t>人件費項目区分</t>
  </si>
  <si>
    <t>会負担保険料区分</t>
  </si>
  <si>
    <t>SHIKYUBI</t>
  </si>
  <si>
    <t>GYOSHU_CD</t>
  </si>
  <si>
    <t>SHOZOKU_CD</t>
  </si>
  <si>
    <t>NYURYOKU_KBN</t>
  </si>
  <si>
    <t>KYUYO_KBN</t>
  </si>
  <si>
    <t>KYUYO_KASHO_CD</t>
  </si>
  <si>
    <t>JINKENHI_KAMOKU_BUNRUI_CD</t>
  </si>
  <si>
    <t>JINKENHI_KAMOKU_KBN</t>
  </si>
  <si>
    <t>JINKENHI_JOHO_NYURYOKU_KOMOKU_CD</t>
  </si>
  <si>
    <t>KINGAKU</t>
  </si>
  <si>
    <t>JINKENHI_KAMOKU_BUNRUI_HOJO_CD</t>
  </si>
  <si>
    <t>JINKENHI_KOMOKU_KBN</t>
  </si>
  <si>
    <t>KAIFUTAN_HOKENRYO_KBN</t>
  </si>
  <si>
    <t>支給日</t>
    <phoneticPr fontId="3"/>
  </si>
  <si>
    <t>伝票番号</t>
  </si>
  <si>
    <t>経理日</t>
  </si>
  <si>
    <t>承認状況区分</t>
    <phoneticPr fontId="3"/>
  </si>
  <si>
    <t>添付ファイルＩＤ１</t>
    <phoneticPr fontId="3"/>
  </si>
  <si>
    <t>添付ファイルＩＤ２</t>
    <phoneticPr fontId="3"/>
  </si>
  <si>
    <t>添付ファイルＩＤ３</t>
    <phoneticPr fontId="3"/>
  </si>
  <si>
    <t>参照URL</t>
  </si>
  <si>
    <t>承認依頼日時</t>
  </si>
  <si>
    <t>承認依頼者ユーザーID</t>
  </si>
  <si>
    <t>差戻日時</t>
  </si>
  <si>
    <t>差戻者ユーザーID</t>
  </si>
  <si>
    <t>取消区分</t>
  </si>
  <si>
    <t>処理済フラグ</t>
  </si>
  <si>
    <t>DEMPYO_NO</t>
  </si>
  <si>
    <t>KEIRIBI</t>
  </si>
  <si>
    <t>TENPU_FILE_ID_1</t>
    <phoneticPr fontId="3"/>
  </si>
  <si>
    <t>TENPU_FILE_ID_2</t>
    <phoneticPr fontId="3"/>
  </si>
  <si>
    <t>TENPU_FILE_ID_3</t>
    <phoneticPr fontId="3"/>
  </si>
  <si>
    <t>SANSHO_URL</t>
    <phoneticPr fontId="3"/>
  </si>
  <si>
    <t>SHONIN_IRAI_DTM</t>
  </si>
  <si>
    <t>SHONIN_IRAISHA_USER_ID</t>
  </si>
  <si>
    <t>SASHIMODOSHI_DTM</t>
  </si>
  <si>
    <t>SASHIMODOSHISHA_USER_ID</t>
  </si>
  <si>
    <t>TORIKESHI_KBN</t>
  </si>
  <si>
    <t>SHORI_ZUMI_FLG</t>
  </si>
  <si>
    <t>USR00001</t>
  </si>
  <si>
    <t>4</t>
    <phoneticPr fontId="3"/>
  </si>
  <si>
    <t>USR00003</t>
  </si>
  <si>
    <t>USR00002</t>
  </si>
  <si>
    <t>1</t>
    <phoneticPr fontId="3"/>
  </si>
  <si>
    <t>4</t>
  </si>
  <si>
    <t>5</t>
  </si>
  <si>
    <t>6</t>
  </si>
  <si>
    <t>人件費連動情報ヘッダ</t>
    <phoneticPr fontId="3"/>
  </si>
  <si>
    <t>DEV_DA.DAA301_JinkenhiRendoJohoHeader</t>
    <phoneticPr fontId="3"/>
  </si>
  <si>
    <t>CODE_MEI_KJ</t>
    <phoneticPr fontId="3"/>
  </si>
  <si>
    <t>6</t>
    <phoneticPr fontId="3"/>
  </si>
  <si>
    <t>V_コードデータマスタ</t>
    <phoneticPr fontId="3"/>
  </si>
  <si>
    <t>入力区分以外</t>
    <rPh sb="4" eb="6">
      <t>イガイ</t>
    </rPh>
    <phoneticPr fontId="3"/>
  </si>
  <si>
    <t>削除区分</t>
    <phoneticPr fontId="3"/>
  </si>
  <si>
    <t>削除区分以外</t>
    <rPh sb="4" eb="6">
      <t>イガイ</t>
    </rPh>
    <phoneticPr fontId="3"/>
  </si>
  <si>
    <t>2</t>
    <phoneticPr fontId="3"/>
  </si>
  <si>
    <t>課コード</t>
    <phoneticPr fontId="3"/>
  </si>
  <si>
    <t>事業本部コード</t>
  </si>
  <si>
    <t>部コード</t>
  </si>
  <si>
    <t>課コード２</t>
  </si>
  <si>
    <t>施設コード</t>
  </si>
  <si>
    <t>施設課コード</t>
  </si>
  <si>
    <t>課区分</t>
  </si>
  <si>
    <t>課名（カナ）</t>
  </si>
  <si>
    <t>課名略称（漢字）</t>
  </si>
  <si>
    <t>課名略称（カナ）</t>
    <phoneticPr fontId="3"/>
  </si>
  <si>
    <t>FAX市外局番</t>
  </si>
  <si>
    <t>FAX市内局番</t>
  </si>
  <si>
    <t>FAX加入者番号</t>
  </si>
  <si>
    <t>KA_CD</t>
  </si>
  <si>
    <t>JIGYOHNB_CD</t>
  </si>
  <si>
    <t>BU_CD</t>
  </si>
  <si>
    <t>KA_2_CD</t>
  </si>
  <si>
    <t>SHIST_CD</t>
  </si>
  <si>
    <t>SHIST_KA_CD</t>
  </si>
  <si>
    <t>KA_KBN</t>
  </si>
  <si>
    <t>KA_MEI_KN</t>
  </si>
  <si>
    <t>KA_RYAKMEI_KJ</t>
  </si>
  <si>
    <t>KA_RYAKMEI_KN</t>
  </si>
  <si>
    <t>USR00004</t>
  </si>
  <si>
    <t>USR00005</t>
  </si>
  <si>
    <t>システム権限CD</t>
  </si>
  <si>
    <t>購買用システム権限CD</t>
  </si>
  <si>
    <t>職種</t>
  </si>
  <si>
    <t>所属主務CD</t>
  </si>
  <si>
    <t>職位主務CD</t>
  </si>
  <si>
    <t>事業所主務CD</t>
  </si>
  <si>
    <t>事業本部主務CD</t>
  </si>
  <si>
    <t>部主務CD</t>
  </si>
  <si>
    <t>課主務CD</t>
  </si>
  <si>
    <t>施設主務CD</t>
  </si>
  <si>
    <t>施設課主務CD</t>
  </si>
  <si>
    <t>所属兼務1CD</t>
  </si>
  <si>
    <t>職位兼務1CD</t>
  </si>
  <si>
    <t>事業所兼務1CD</t>
  </si>
  <si>
    <t>事業本部兼務1CD</t>
  </si>
  <si>
    <t>部兼務1CD</t>
  </si>
  <si>
    <t>課兼務1CD</t>
  </si>
  <si>
    <t>施設兼務1CD</t>
  </si>
  <si>
    <t>施設課兼務1CD</t>
  </si>
  <si>
    <t>所属兼務2CD</t>
  </si>
  <si>
    <t>職位兼務2CD</t>
  </si>
  <si>
    <t>事業所兼務2CD</t>
  </si>
  <si>
    <t>事業本部兼務2CD</t>
  </si>
  <si>
    <t>部兼務2CD</t>
  </si>
  <si>
    <t>課兼務2CD</t>
  </si>
  <si>
    <t>施設兼務2CD</t>
  </si>
  <si>
    <t>施設課兼務2CD</t>
  </si>
  <si>
    <t>所属兼務3CD</t>
  </si>
  <si>
    <t>職位兼務3CD</t>
  </si>
  <si>
    <t>事業所兼務3CD</t>
  </si>
  <si>
    <t>事業本部兼務3CD</t>
  </si>
  <si>
    <t>部兼務3CD</t>
  </si>
  <si>
    <t>課兼務3CD</t>
  </si>
  <si>
    <t>施設兼務3CD</t>
  </si>
  <si>
    <t>施設課兼務3CD</t>
  </si>
  <si>
    <t>出向先CD</t>
  </si>
  <si>
    <t>出向先名</t>
  </si>
  <si>
    <t>出向先略称</t>
  </si>
  <si>
    <t>退職日</t>
  </si>
  <si>
    <t>メールアドレス区分</t>
  </si>
  <si>
    <t>メールアドレス</t>
  </si>
  <si>
    <t>メールアドレス変更予定</t>
  </si>
  <si>
    <t>旧姓使用区分</t>
  </si>
  <si>
    <t>旧姓漢字姓</t>
  </si>
  <si>
    <t>旧姓漢字名</t>
  </si>
  <si>
    <t>旧姓カナ姓</t>
  </si>
  <si>
    <t>旧姓カナ名</t>
  </si>
  <si>
    <t>コード分類</t>
  </si>
  <si>
    <t>コード分類名称</t>
  </si>
  <si>
    <t>桁数</t>
  </si>
  <si>
    <t>摘要</t>
  </si>
  <si>
    <t>コード</t>
  </si>
  <si>
    <t>名称</t>
  </si>
  <si>
    <t>英語名称</t>
  </si>
  <si>
    <t>属性01</t>
  </si>
  <si>
    <t>属性02</t>
  </si>
  <si>
    <t>属性03</t>
  </si>
  <si>
    <t>属性04</t>
  </si>
  <si>
    <t>属性05</t>
  </si>
  <si>
    <t>属性06</t>
  </si>
  <si>
    <t>属性07</t>
  </si>
  <si>
    <t>属性08</t>
  </si>
  <si>
    <t>属性09</t>
  </si>
  <si>
    <t>属性10</t>
  </si>
  <si>
    <t>属性11</t>
  </si>
  <si>
    <t>属性12</t>
  </si>
  <si>
    <t>属性13</t>
  </si>
  <si>
    <t>属性14</t>
  </si>
  <si>
    <t>属性15</t>
  </si>
  <si>
    <t>属性16</t>
  </si>
  <si>
    <t>属性17</t>
  </si>
  <si>
    <t>属性18</t>
  </si>
  <si>
    <t>属性19</t>
  </si>
  <si>
    <t>属性20</t>
  </si>
  <si>
    <t>属性21</t>
  </si>
  <si>
    <t>属性22</t>
  </si>
  <si>
    <t>属性23</t>
  </si>
  <si>
    <t>属性24</t>
  </si>
  <si>
    <t>属性25</t>
  </si>
  <si>
    <t>属性26</t>
  </si>
  <si>
    <t>属性27</t>
  </si>
  <si>
    <t>属性28</t>
  </si>
  <si>
    <t>属性29</t>
  </si>
  <si>
    <t>属性30</t>
  </si>
  <si>
    <t>CD_BUNRUI</t>
  </si>
  <si>
    <t>CD_BUNRUI_MEISHO</t>
  </si>
  <si>
    <t>KETASU</t>
  </si>
  <si>
    <t>TEKIYO</t>
  </si>
  <si>
    <t>CD</t>
  </si>
  <si>
    <t>MEISHO</t>
  </si>
  <si>
    <t>EIGO_MEISHO</t>
  </si>
  <si>
    <t>ZOKUSEI_01</t>
  </si>
  <si>
    <t>ZOKUSEI_02</t>
  </si>
  <si>
    <t>ZOKUSEI_03</t>
  </si>
  <si>
    <t>ZOKUSEI_04</t>
  </si>
  <si>
    <t>ZOKUSEI_05</t>
  </si>
  <si>
    <t>ZOKUSEI_06</t>
  </si>
  <si>
    <t>ZOKUSEI_07</t>
  </si>
  <si>
    <t>ZOKUSEI_08</t>
  </si>
  <si>
    <t>ZOKUSEI_09</t>
  </si>
  <si>
    <t>ZOKUSEI_10</t>
  </si>
  <si>
    <t>ZOKUSEI_11</t>
  </si>
  <si>
    <t>ZOKUSEI_12</t>
  </si>
  <si>
    <t>ZOKUSEI_13</t>
  </si>
  <si>
    <t>ZOKUSEI_14</t>
  </si>
  <si>
    <t>ZOKUSEI_15</t>
  </si>
  <si>
    <t>ZOKUSEI_16</t>
  </si>
  <si>
    <t>ZOKUSEI_17</t>
  </si>
  <si>
    <t>ZOKUSEI_18</t>
  </si>
  <si>
    <t>ZOKUSEI_19</t>
  </si>
  <si>
    <t>ZOKUSEI_20</t>
  </si>
  <si>
    <t>ZOKUSEI_21</t>
  </si>
  <si>
    <t>ZOKUSEI_22</t>
  </si>
  <si>
    <t>ZOKUSEI_23</t>
  </si>
  <si>
    <t>ZOKUSEI_24</t>
  </si>
  <si>
    <t>ZOKUSEI_25</t>
  </si>
  <si>
    <t>ZOKUSEI_26</t>
  </si>
  <si>
    <t>ZOKUSEI_27</t>
  </si>
  <si>
    <t>ZOKUSEI_28</t>
  </si>
  <si>
    <t>ZOKUSEI_29</t>
  </si>
  <si>
    <t>ZOKUSEI_30</t>
  </si>
  <si>
    <t>会計コードマスタ</t>
    <phoneticPr fontId="3"/>
  </si>
  <si>
    <t>取引先コード</t>
  </si>
  <si>
    <t>法人種類</t>
  </si>
  <si>
    <t>法人名接続区分</t>
  </si>
  <si>
    <t>取引先名（漢字）</t>
  </si>
  <si>
    <t>取引先名（カナ）</t>
  </si>
  <si>
    <t>取引先名略称（漢字）</t>
  </si>
  <si>
    <t>取引先名略称（カナ）</t>
  </si>
  <si>
    <t>店舗名</t>
  </si>
  <si>
    <t>適格請求書発行事業者登録番号</t>
  </si>
  <si>
    <t>登録日</t>
  </si>
  <si>
    <t>失効・取消日</t>
  </si>
  <si>
    <t>消費税課税区分</t>
  </si>
  <si>
    <t>税額計算区分</t>
  </si>
  <si>
    <t>取引先業種</t>
  </si>
  <si>
    <t>取引先業種内訳</t>
  </si>
  <si>
    <t>取引先取引形態</t>
  </si>
  <si>
    <t>取引先属性コード</t>
  </si>
  <si>
    <t>アクセスカウンタ</t>
  </si>
  <si>
    <t>TORHKSK_CD</t>
  </si>
  <si>
    <t>HOJIN_SYURI_KBN</t>
  </si>
  <si>
    <t>HOJIN_SETZOK_KBN</t>
  </si>
  <si>
    <t>TORHKSK_MEI_KJ</t>
  </si>
  <si>
    <t>TORHKSK_MEI_KN</t>
  </si>
  <si>
    <t>TORHKSK_RYAKMEI_KJ</t>
  </si>
  <si>
    <t>TORHKSK_RYAKMEI_KN</t>
  </si>
  <si>
    <t>TENPO_MEI_TXT</t>
  </si>
  <si>
    <t>JIGYOSHA_NO</t>
  </si>
  <si>
    <t>JIGYOSHA_TOROKUBI</t>
  </si>
  <si>
    <t>JIGYOSHA_SIKKOUBI</t>
  </si>
  <si>
    <t>KAZEI_KBN</t>
  </si>
  <si>
    <t>ZEIKSN_KBN</t>
  </si>
  <si>
    <t>TORHKSK_GYS_KBN</t>
  </si>
  <si>
    <t>TORHKSK_GYSUCWK_TXT</t>
  </si>
  <si>
    <t>TORHK_KETAI</t>
  </si>
  <si>
    <t>TORHKSK_ZOKSE_CD</t>
  </si>
  <si>
    <t>ACCESS_CNT</t>
  </si>
  <si>
    <t>V_ユーザー情報</t>
    <phoneticPr fontId="3"/>
  </si>
  <si>
    <r>
      <t>組織名称取得用sql部品</t>
    </r>
    <r>
      <rPr>
        <sz val="11"/>
        <rFont val="Noto Sans JP"/>
        <family val="3"/>
        <charset val="134"/>
      </rPr>
      <t>.</t>
    </r>
    <r>
      <rPr>
        <sz val="11"/>
        <rFont val="ＭＳ ゴシック"/>
        <family val="3"/>
        <charset val="128"/>
      </rPr>
      <t>組織情報</t>
    </r>
    <phoneticPr fontId="3"/>
  </si>
  <si>
    <t>V_取引先マスタ</t>
    <phoneticPr fontId="3"/>
  </si>
  <si>
    <t>DEV_AC.V_AQA021_TorhkskMst</t>
    <phoneticPr fontId="3"/>
  </si>
  <si>
    <t>DEV_DA.DAA425_KaikeiCdMst</t>
    <phoneticPr fontId="3"/>
  </si>
  <si>
    <t>DEV_AC.V_ACA201_UserDatKainai</t>
    <phoneticPr fontId="3"/>
  </si>
  <si>
    <t>K001</t>
  </si>
  <si>
    <t>K002</t>
  </si>
  <si>
    <t>K003</t>
  </si>
  <si>
    <t>S004</t>
  </si>
  <si>
    <t>S005</t>
  </si>
  <si>
    <t>USR00006</t>
  </si>
  <si>
    <t>S006</t>
  </si>
  <si>
    <t>USR00007</t>
  </si>
  <si>
    <t>USR00008</t>
  </si>
  <si>
    <t>S010</t>
  </si>
  <si>
    <t>K010</t>
  </si>
  <si>
    <t>NONE</t>
  </si>
  <si>
    <t>NULL</t>
  </si>
  <si>
    <t>LOC_NAME_01</t>
  </si>
  <si>
    <t>LOC_NAME_02</t>
  </si>
  <si>
    <t>LOC_NAME_03</t>
  </si>
  <si>
    <t>TR001</t>
  </si>
  <si>
    <t>TR002</t>
  </si>
  <si>
    <t>TR003</t>
  </si>
  <si>
    <t>IND_NAME_03</t>
  </si>
  <si>
    <t>IND_NAME_04</t>
  </si>
  <si>
    <t>IND_NAME_05</t>
  </si>
  <si>
    <t>02</t>
    <phoneticPr fontId="3"/>
  </si>
  <si>
    <t>​(NULL)​</t>
  </si>
  <si>
    <t>06</t>
    <phoneticPr fontId="3"/>
  </si>
  <si>
    <t>07</t>
    <phoneticPr fontId="3"/>
  </si>
  <si>
    <t>DEV_AC.V_AQA062_CddatMst</t>
    <phoneticPr fontId="3"/>
  </si>
  <si>
    <t>DEV_AC.AQA014_KaMst (COMMON_SOSHIKI CTE)</t>
    <phoneticPr fontId="3"/>
  </si>
  <si>
    <t>入力者ユーザーＩＤ</t>
  </si>
  <si>
    <t>承認者ユーザーＩＤ</t>
  </si>
  <si>
    <t>業種形態区分</t>
  </si>
  <si>
    <t>部門コード</t>
  </si>
  <si>
    <t>SAKUJO_KBN</t>
  </si>
  <si>
    <t>SAKUSEI_DTM</t>
  </si>
  <si>
    <t>SAISHU_KOSHIN_DTM</t>
  </si>
  <si>
    <t>SAISHU_KOSHIN_USER_ID</t>
  </si>
  <si>
    <t>GYOSHU_MEISHO</t>
  </si>
  <si>
    <t>GYOSHU_KEITAI_KBN</t>
  </si>
  <si>
    <t>BUMON_CD</t>
  </si>
  <si>
    <t>APP00001</t>
  </si>
  <si>
    <t>業種マスタ</t>
    <phoneticPr fontId="3"/>
  </si>
  <si>
    <t>DEV_DA.DAA445_GyoshuMst</t>
    <phoneticPr fontId="3"/>
  </si>
  <si>
    <t>SYS</t>
  </si>
  <si>
    <t>WKF_20251220_1</t>
  </si>
  <si>
    <t>WKF_20251220_2</t>
  </si>
  <si>
    <t>COSCAT</t>
  </si>
  <si>
    <t xml:space="preserve">01   </t>
  </si>
  <si>
    <t xml:space="preserve">02   </t>
  </si>
  <si>
    <t>NO_KENKYU</t>
  </si>
  <si>
    <t>CAT_02</t>
  </si>
  <si>
    <t xml:space="preserve">03   </t>
  </si>
  <si>
    <t xml:space="preserve">04   </t>
  </si>
  <si>
    <t>加工費用</t>
  </si>
  <si>
    <t>KAKO_HIYO</t>
  </si>
  <si>
    <t>CAT_04</t>
  </si>
  <si>
    <t xml:space="preserve">05   </t>
  </si>
  <si>
    <t>生産費用</t>
  </si>
  <si>
    <t>SEISAN_HIYO</t>
  </si>
  <si>
    <t>CAT_05</t>
  </si>
  <si>
    <t xml:space="preserve">07   </t>
  </si>
  <si>
    <t>事業施設費</t>
  </si>
  <si>
    <t>JIGYO_SHISETSU</t>
  </si>
  <si>
    <t>CAT_07</t>
  </si>
  <si>
    <t>COSKBN</t>
  </si>
  <si>
    <t>労務</t>
  </si>
  <si>
    <t>ROUMU</t>
  </si>
  <si>
    <t>KBN_01</t>
  </si>
  <si>
    <t>農務</t>
  </si>
  <si>
    <t>NOUMU</t>
  </si>
  <si>
    <t>KBN_02</t>
  </si>
  <si>
    <t>糖管</t>
  </si>
  <si>
    <t>TOUKAN</t>
  </si>
  <si>
    <t>KBN_03</t>
  </si>
  <si>
    <t>SHISETSU</t>
  </si>
  <si>
    <t>KBN_05</t>
  </si>
  <si>
    <t>INPKBN</t>
  </si>
  <si>
    <t>給与支給</t>
  </si>
  <si>
    <t>KYUYO_SHIKYU</t>
  </si>
  <si>
    <t>INP_1</t>
  </si>
  <si>
    <t>給与控除</t>
  </si>
  <si>
    <t>KYUYO_KOZYO</t>
  </si>
  <si>
    <t>INP_2</t>
  </si>
  <si>
    <t>KAI_KENPO</t>
  </si>
  <si>
    <t>INP_3</t>
  </si>
  <si>
    <t>SALKBN</t>
  </si>
  <si>
    <t>KAKI_TEATE</t>
  </si>
  <si>
    <t>SAL_2</t>
  </si>
  <si>
    <t>年末手当</t>
  </si>
  <si>
    <t>NENMATU_TEATE</t>
  </si>
  <si>
    <t>SAL_5</t>
  </si>
  <si>
    <t>期末手当</t>
  </si>
  <si>
    <t>KIMATU_TEATE</t>
  </si>
  <si>
    <t>SAL_6</t>
  </si>
  <si>
    <t>CDDAT_CD</t>
    <phoneticPr fontId="3"/>
  </si>
  <si>
    <t>コードデータコード</t>
    <phoneticPr fontId="3"/>
  </si>
  <si>
    <t>K1</t>
    <phoneticPr fontId="3"/>
  </si>
  <si>
    <t>K2</t>
    <phoneticPr fontId="3"/>
  </si>
  <si>
    <t>K3</t>
    <phoneticPr fontId="3"/>
  </si>
  <si>
    <t>K4</t>
    <phoneticPr fontId="3"/>
  </si>
  <si>
    <t>K5</t>
    <phoneticPr fontId="3"/>
  </si>
  <si>
    <t>K6</t>
    <phoneticPr fontId="3"/>
  </si>
  <si>
    <t>K7</t>
    <phoneticPr fontId="3"/>
  </si>
  <si>
    <t>K8</t>
    <phoneticPr fontId="3"/>
  </si>
  <si>
    <t>K9</t>
    <phoneticPr fontId="3"/>
  </si>
  <si>
    <t>R2</t>
    <phoneticPr fontId="3"/>
  </si>
  <si>
    <t>R3</t>
    <phoneticPr fontId="3"/>
  </si>
  <si>
    <t>R3,R5,R9,R11</t>
    <phoneticPr fontId="3"/>
  </si>
  <si>
    <t>R6</t>
    <phoneticPr fontId="3"/>
  </si>
  <si>
    <t>R8</t>
    <phoneticPr fontId="3"/>
  </si>
  <si>
    <t>R10</t>
    <phoneticPr fontId="3"/>
  </si>
  <si>
    <t>R12</t>
    <phoneticPr fontId="3"/>
  </si>
  <si>
    <t>R14</t>
    <phoneticPr fontId="3"/>
  </si>
  <si>
    <t>R15</t>
    <phoneticPr fontId="3"/>
  </si>
  <si>
    <t>R16</t>
    <phoneticPr fontId="3"/>
  </si>
  <si>
    <t>R18</t>
    <phoneticPr fontId="3"/>
  </si>
  <si>
    <t>R19</t>
    <phoneticPr fontId="3"/>
  </si>
  <si>
    <t>R20</t>
    <phoneticPr fontId="3"/>
  </si>
  <si>
    <t>R1,R21</t>
    <phoneticPr fontId="3"/>
  </si>
  <si>
    <t>G_KASHO</t>
  </si>
  <si>
    <t>LOCATION</t>
  </si>
  <si>
    <t>LOC_01</t>
  </si>
  <si>
    <t>LOC_02</t>
  </si>
  <si>
    <t>LOC_03</t>
  </si>
  <si>
    <t>LOC_010</t>
  </si>
  <si>
    <t>P_LINK</t>
  </si>
  <si>
    <t>PAYEE_LINK</t>
  </si>
  <si>
    <t>PAY_TYPE_1</t>
  </si>
  <si>
    <t>P1</t>
  </si>
  <si>
    <t>TYPE_PAY</t>
  </si>
  <si>
    <t>PAY_TYPE_2</t>
  </si>
  <si>
    <t>P2</t>
  </si>
  <si>
    <t>P3</t>
  </si>
  <si>
    <t>R7</t>
    <phoneticPr fontId="3"/>
  </si>
  <si>
    <t>SYS_ADM</t>
  </si>
  <si>
    <t>001</t>
  </si>
  <si>
    <t>ORG_NAME_01</t>
  </si>
  <si>
    <t>ORG_01</t>
  </si>
  <si>
    <t>01@TEST.COM</t>
  </si>
  <si>
    <t>1000000</t>
  </si>
  <si>
    <t>C01</t>
  </si>
  <si>
    <t>ADDR_01</t>
  </si>
  <si>
    <t>B01</t>
  </si>
  <si>
    <t>T01</t>
  </si>
  <si>
    <t>1111</t>
  </si>
  <si>
    <t>0001</t>
  </si>
  <si>
    <t>9001</t>
  </si>
  <si>
    <t>002</t>
  </si>
  <si>
    <t>ORG_NAME_02</t>
  </si>
  <si>
    <t>ORG_02</t>
  </si>
  <si>
    <t>02@TEST.COM</t>
  </si>
  <si>
    <t>ADDR_02</t>
  </si>
  <si>
    <t>9002</t>
  </si>
  <si>
    <t>003</t>
  </si>
  <si>
    <t>ORG_NAME_03</t>
  </si>
  <si>
    <t>ORG_03</t>
  </si>
  <si>
    <t>03@TEST.COM</t>
  </si>
  <si>
    <t>ADDR_03</t>
  </si>
  <si>
    <t>9003</t>
  </si>
  <si>
    <t>004</t>
  </si>
  <si>
    <t>ORG_NAME_04</t>
  </si>
  <si>
    <t>ORG_04</t>
  </si>
  <si>
    <t>04@TEST.COM</t>
  </si>
  <si>
    <t>ADDR_04</t>
  </si>
  <si>
    <t>9004</t>
  </si>
  <si>
    <t>005</t>
  </si>
  <si>
    <t>ORG_NAME_05</t>
  </si>
  <si>
    <t>ORG_05</t>
  </si>
  <si>
    <t>05@TEST.COM</t>
  </si>
  <si>
    <t>ADDR_05</t>
  </si>
  <si>
    <t>9005</t>
  </si>
  <si>
    <t>006</t>
  </si>
  <si>
    <t>ORG_NAME_06</t>
  </si>
  <si>
    <t>ORG_06</t>
  </si>
  <si>
    <t>06@TEST.COM</t>
  </si>
  <si>
    <t>ADDR_06</t>
  </si>
  <si>
    <t>9006</t>
  </si>
  <si>
    <t>LAST_01</t>
  </si>
  <si>
    <t>FIRST_01</t>
  </si>
  <si>
    <t>USER_NAME_01</t>
  </si>
  <si>
    <t>LAST_02</t>
  </si>
  <si>
    <t>FIRST_02</t>
  </si>
  <si>
    <t>USER_NAME_02</t>
  </si>
  <si>
    <t>LAST_03</t>
  </si>
  <si>
    <t>FIRST_03</t>
  </si>
  <si>
    <t>USER_NAME_03</t>
  </si>
  <si>
    <t>LAST_04</t>
  </si>
  <si>
    <t>FIRST_04</t>
  </si>
  <si>
    <t>USER_NAME_04</t>
  </si>
  <si>
    <t>LAST_05</t>
  </si>
  <si>
    <t>FIRST_05</t>
  </si>
  <si>
    <t>USER_NAME_05</t>
  </si>
  <si>
    <t>LAST_06</t>
  </si>
  <si>
    <t>FIRST_06</t>
  </si>
  <si>
    <t>USER_NAME_06</t>
  </si>
  <si>
    <t>LAST_07</t>
  </si>
  <si>
    <t>FIRST_07</t>
  </si>
  <si>
    <t>USER_NAME_07</t>
  </si>
  <si>
    <t>LAST_08</t>
  </si>
  <si>
    <t>FIRST_08</t>
  </si>
  <si>
    <t>USER_NAME_08</t>
  </si>
  <si>
    <t>CORP_FULL_NAME_01</t>
  </si>
  <si>
    <t>CORP_KN_01</t>
  </si>
  <si>
    <t>CORP_A</t>
  </si>
  <si>
    <t>RYAK_KN_01</t>
  </si>
  <si>
    <t>SHOP_01</t>
  </si>
  <si>
    <t>T1000000000001</t>
  </si>
  <si>
    <t>BIZ_01</t>
  </si>
  <si>
    <t>CORP_FULL_NAME_02</t>
  </si>
  <si>
    <t>CORP_KN_02</t>
  </si>
  <si>
    <t>CORP_B</t>
  </si>
  <si>
    <t>RYAK_KN_02</t>
  </si>
  <si>
    <t>SHOP_02</t>
  </si>
  <si>
    <t>T1000000000002</t>
  </si>
  <si>
    <t>BIZ_02</t>
  </si>
  <si>
    <t>CORP_FULL_NAME_03</t>
  </si>
  <si>
    <t>CORP_KN_03</t>
  </si>
  <si>
    <t>RYAK_KN_03</t>
  </si>
  <si>
    <t>SHOP_03</t>
  </si>
  <si>
    <t>T1000000000003</t>
  </si>
  <si>
    <t>BIZ_03</t>
  </si>
  <si>
    <t>WKF_G_2025_010</t>
  </si>
  <si>
    <t>WKF_G_2025_003</t>
  </si>
  <si>
    <t>WKF_G_2025_004</t>
  </si>
  <si>
    <t>WKF_G_2025_005</t>
  </si>
  <si>
    <t>R17</t>
    <phoneticPr fontId="3"/>
  </si>
  <si>
    <t>KA_MEI_KJ</t>
    <phoneticPr fontId="3"/>
  </si>
  <si>
    <r>
      <t>課名（漢字）as</t>
    </r>
    <r>
      <rPr>
        <sz val="12"/>
        <rFont val="Noto Sans JP"/>
        <family val="1"/>
        <charset val="134"/>
      </rPr>
      <t xml:space="preserve"> </t>
    </r>
    <r>
      <rPr>
        <sz val="12"/>
        <rFont val="ＭＳ 明朝"/>
        <family val="1"/>
        <charset val="128"/>
      </rPr>
      <t>組織名</t>
    </r>
    <phoneticPr fontId="3"/>
  </si>
  <si>
    <t>人件費情報入力項目コード</t>
    <phoneticPr fontId="3"/>
  </si>
  <si>
    <t>3</t>
    <phoneticPr fontId="3"/>
  </si>
  <si>
    <t>USR00010</t>
    <phoneticPr fontId="3"/>
  </si>
  <si>
    <t>アカウント</t>
    <phoneticPr fontId="3"/>
  </si>
  <si>
    <t>USR00011</t>
    <phoneticPr fontId="3"/>
  </si>
  <si>
    <t>D20251220003</t>
  </si>
  <si>
    <t>APR_001</t>
  </si>
  <si>
    <t>WKF20251220003</t>
  </si>
  <si>
    <t>D20251220004</t>
  </si>
  <si>
    <t>WKF20251220004</t>
  </si>
  <si>
    <t>D20251221003</t>
  </si>
  <si>
    <t>WKF20251221003</t>
  </si>
  <si>
    <t>入力区分</t>
    <phoneticPr fontId="3"/>
  </si>
  <si>
    <t>支給日以外</t>
    <rPh sb="3" eb="5">
      <t>イガイ</t>
    </rPh>
    <phoneticPr fontId="3"/>
  </si>
  <si>
    <t>正常</t>
    <rPh sb="0" eb="2">
      <t>セイジョウ</t>
    </rPh>
    <phoneticPr fontId="3"/>
  </si>
  <si>
    <t xml:space="preserve">6   </t>
    <phoneticPr fontId="3"/>
  </si>
  <si>
    <t>会負担健保1</t>
  </si>
  <si>
    <t>会負担健保1</t>
    <phoneticPr fontId="3"/>
  </si>
  <si>
    <t>会負担健保2</t>
    <phoneticPr fontId="3"/>
  </si>
  <si>
    <t>夏期手当1</t>
  </si>
  <si>
    <t>夏期手当1</t>
    <phoneticPr fontId="3"/>
  </si>
  <si>
    <t>夏期手当2</t>
    <phoneticPr fontId="3"/>
  </si>
  <si>
    <t>夏期手当3</t>
  </si>
  <si>
    <t>夏期手当3</t>
    <phoneticPr fontId="3"/>
  </si>
  <si>
    <t>夏期手当4</t>
    <phoneticPr fontId="3"/>
  </si>
  <si>
    <t>会負担健保3</t>
  </si>
  <si>
    <t>会負担健保3</t>
    <phoneticPr fontId="3"/>
  </si>
  <si>
    <t>会負担健保4</t>
    <phoneticPr fontId="3"/>
  </si>
  <si>
    <t>USR00015</t>
    <phoneticPr fontId="3"/>
  </si>
  <si>
    <t>データパターン備考</t>
    <phoneticPr fontId="3"/>
  </si>
  <si>
    <t>最終更新日時</t>
    <phoneticPr fontId="3"/>
  </si>
  <si>
    <t>農総研究費1</t>
  </si>
  <si>
    <t>農総研究費1</t>
    <phoneticPr fontId="3"/>
  </si>
  <si>
    <t>農総研究費2</t>
    <phoneticPr fontId="3"/>
  </si>
  <si>
    <t>農総研究費3</t>
  </si>
  <si>
    <t>農総研究費3</t>
    <phoneticPr fontId="3"/>
  </si>
  <si>
    <t>農総研究費4</t>
    <phoneticPr fontId="3"/>
  </si>
  <si>
    <t xml:space="preserve">06 </t>
    <phoneticPr fontId="3"/>
  </si>
  <si>
    <t>施設1</t>
  </si>
  <si>
    <t>施設1</t>
    <phoneticPr fontId="3"/>
  </si>
  <si>
    <t>施設2</t>
    <phoneticPr fontId="3"/>
  </si>
  <si>
    <t>施設3</t>
  </si>
  <si>
    <t>施設3</t>
    <phoneticPr fontId="3"/>
  </si>
  <si>
    <t>施設4</t>
    <phoneticPr fontId="3"/>
  </si>
  <si>
    <t>給与区分-正常</t>
  </si>
  <si>
    <t>給与区分-入力区分以外</t>
  </si>
  <si>
    <t>給与区分-削除区分以外</t>
  </si>
  <si>
    <t>人件費科目分類-入力区分以外</t>
  </si>
  <si>
    <t>人件費科目分類-削除区分以外</t>
  </si>
  <si>
    <t>人件費科目区分-正常</t>
  </si>
  <si>
    <t>人件費科目区分-入力区分以外</t>
  </si>
  <si>
    <r>
      <t xml:space="preserve">境界値
入力区分.給与支給・給与控除以外
支給日不一致データ
</t>
    </r>
    <r>
      <rPr>
        <sz val="11"/>
        <color rgb="FFFF0000"/>
        <rFont val="ＭＳ 明朝"/>
        <family val="1"/>
        <charset val="128"/>
      </rPr>
      <t>検索条件不一致データ</t>
    </r>
    <rPh sb="21" eb="24">
      <t>シキュウビ</t>
    </rPh>
    <phoneticPr fontId="3"/>
  </si>
  <si>
    <r>
      <t xml:space="preserve">境界値
入力区分.給与支給・給与控除以外
削除区分不一致データ
</t>
    </r>
    <r>
      <rPr>
        <sz val="11"/>
        <color rgb="FFFF0000"/>
        <rFont val="ＭＳ 明朝"/>
        <family val="1"/>
        <charset val="128"/>
      </rPr>
      <t>検索条件不一致データ</t>
    </r>
    <rPh sb="21" eb="23">
      <t>サクジョ</t>
    </rPh>
    <rPh sb="23" eb="25">
      <t>クブン</t>
    </rPh>
    <phoneticPr fontId="3"/>
  </si>
  <si>
    <t>5</t>
    <phoneticPr fontId="3"/>
  </si>
  <si>
    <r>
      <t xml:space="preserve">正常
入力区分.給与支給・給与控除以外
group by
MAX排他カウンタ
適用期間内
</t>
    </r>
    <r>
      <rPr>
        <sz val="11"/>
        <color rgb="FF0000FF"/>
        <rFont val="ＭＳ 明朝"/>
        <family val="1"/>
        <charset val="128"/>
      </rPr>
      <t>検索条件合致データ</t>
    </r>
    <r>
      <rPr>
        <sz val="11"/>
        <rFont val="ＭＳ 明朝"/>
        <family val="1"/>
        <charset val="128"/>
      </rPr>
      <t xml:space="preserve">
</t>
    </r>
    <rPh sb="41" eb="43">
      <t>キカン</t>
    </rPh>
    <rPh sb="43" eb="44">
      <t>ナイ</t>
    </rPh>
    <phoneticPr fontId="3"/>
  </si>
  <si>
    <r>
      <t xml:space="preserve">正常
入力区分.給与支給・給与控除以外
group by
MAX最終更新日時
適用期間内
</t>
    </r>
    <r>
      <rPr>
        <sz val="11"/>
        <color rgb="FF0000FF"/>
        <rFont val="ＭＳ 明朝"/>
        <family val="1"/>
        <charset val="128"/>
      </rPr>
      <t>検索条件合致データ</t>
    </r>
    <r>
      <rPr>
        <sz val="11"/>
        <rFont val="ＭＳ 明朝"/>
        <family val="1"/>
        <charset val="128"/>
      </rPr>
      <t xml:space="preserve">
</t>
    </r>
    <phoneticPr fontId="3"/>
  </si>
  <si>
    <r>
      <t xml:space="preserve">正常
入力区分.給与支給・給与控除以外
group by
MAX最終更新者ユーザーＩＤ
適用期間内
</t>
    </r>
    <r>
      <rPr>
        <sz val="11"/>
        <color rgb="FF0000FF"/>
        <rFont val="ＭＳ 明朝"/>
        <family val="1"/>
        <charset val="128"/>
      </rPr>
      <t>検索条件合致データ</t>
    </r>
    <phoneticPr fontId="3"/>
  </si>
  <si>
    <r>
      <t xml:space="preserve">境界値
入力区分.給与支給・給与控除以外
適用開始年月日
</t>
    </r>
    <r>
      <rPr>
        <sz val="11"/>
        <color rgb="FF0000FF"/>
        <rFont val="ＭＳ 明朝"/>
        <family val="1"/>
        <charset val="128"/>
      </rPr>
      <t>検索条件合致データ</t>
    </r>
    <phoneticPr fontId="3"/>
  </si>
  <si>
    <r>
      <t xml:space="preserve">境界値
入力区分.給与支給・給与控除以外
適用終了年月日
</t>
    </r>
    <r>
      <rPr>
        <sz val="11"/>
        <color rgb="FF0000FF"/>
        <rFont val="ＭＳ 明朝"/>
        <family val="1"/>
        <charset val="128"/>
      </rPr>
      <t>検索条件合致データ</t>
    </r>
    <phoneticPr fontId="3"/>
  </si>
  <si>
    <t>1-2</t>
    <phoneticPr fontId="3"/>
  </si>
  <si>
    <t>1-3</t>
    <phoneticPr fontId="3"/>
  </si>
  <si>
    <t>1-4</t>
    <phoneticPr fontId="3"/>
  </si>
  <si>
    <t>1-5</t>
    <phoneticPr fontId="3"/>
  </si>
  <si>
    <t>K001</t>
    <phoneticPr fontId="3"/>
  </si>
  <si>
    <t>K002</t>
    <phoneticPr fontId="3"/>
  </si>
  <si>
    <t>入力区分-入力区分以外</t>
    <phoneticPr fontId="3"/>
  </si>
  <si>
    <t>入力区分-正常</t>
    <phoneticPr fontId="3"/>
  </si>
  <si>
    <t>入力区分-新適用期間</t>
    <rPh sb="5" eb="6">
      <t>シン</t>
    </rPh>
    <phoneticPr fontId="3"/>
  </si>
  <si>
    <t>給与区分-新適用期間</t>
    <phoneticPr fontId="3"/>
  </si>
  <si>
    <t>人件費科目分類-新適用期間</t>
    <phoneticPr fontId="3"/>
  </si>
  <si>
    <t>人件費科目区分-新適用期間</t>
    <phoneticPr fontId="3"/>
  </si>
  <si>
    <t>人件費科目区分-削除区分以外</t>
    <phoneticPr fontId="3"/>
  </si>
  <si>
    <t>給与個所-正常</t>
    <phoneticPr fontId="3"/>
  </si>
  <si>
    <t>給与個所-新適用期間</t>
    <phoneticPr fontId="3"/>
  </si>
  <si>
    <t>入力区分-削除区分以外</t>
    <phoneticPr fontId="3"/>
  </si>
  <si>
    <t>給与個所-削除区分以外</t>
    <phoneticPr fontId="3"/>
  </si>
  <si>
    <t>給与個所-給与個所以外</t>
    <phoneticPr fontId="3"/>
  </si>
  <si>
    <t>LOC_NAME_101</t>
  </si>
  <si>
    <t>LOC_NAME_101</t>
    <phoneticPr fontId="3"/>
  </si>
  <si>
    <t>LOC_NAME_102</t>
    <phoneticPr fontId="3"/>
  </si>
  <si>
    <t>LOC_NAME_103</t>
  </si>
  <si>
    <t>LOC_NAME_103</t>
    <phoneticPr fontId="3"/>
  </si>
  <si>
    <t>LOC_NAME_104</t>
    <phoneticPr fontId="3"/>
  </si>
  <si>
    <t>K100</t>
    <phoneticPr fontId="3"/>
  </si>
  <si>
    <t>支払先-正常</t>
    <phoneticPr fontId="3"/>
  </si>
  <si>
    <t>支払先-給与個所以外</t>
    <phoneticPr fontId="3"/>
  </si>
  <si>
    <t>支払先-新適用期間</t>
    <phoneticPr fontId="3"/>
  </si>
  <si>
    <t>支払先-削除区分以外</t>
    <phoneticPr fontId="3"/>
  </si>
  <si>
    <t>PAY_TYPE_31</t>
    <phoneticPr fontId="3"/>
  </si>
  <si>
    <t>PAY_TYPE_32</t>
    <phoneticPr fontId="3"/>
  </si>
  <si>
    <t>PAY_TYPE_33</t>
    <phoneticPr fontId="3"/>
  </si>
  <si>
    <t>PAY_TYPE_34</t>
    <phoneticPr fontId="3"/>
  </si>
  <si>
    <r>
      <t xml:space="preserve">境界値
入力区分.給与支給・給与控除以外
適用開始年月日の前
</t>
    </r>
    <r>
      <rPr>
        <sz val="11"/>
        <color rgb="FF0000FF"/>
        <rFont val="ＭＳ 明朝"/>
        <family val="1"/>
        <charset val="128"/>
      </rPr>
      <t>検索条件合致データ</t>
    </r>
    <r>
      <rPr>
        <sz val="11"/>
        <rFont val="ＭＳ 明朝"/>
        <family val="1"/>
        <charset val="128"/>
      </rPr>
      <t>→LEFT JOIN失敗</t>
    </r>
    <rPh sb="29" eb="30">
      <t>マエ</t>
    </rPh>
    <phoneticPr fontId="3"/>
  </si>
  <si>
    <r>
      <t xml:space="preserve">境界値
入力区分.給与支給・給与控除以外
適用終了年月日の後
</t>
    </r>
    <r>
      <rPr>
        <sz val="11"/>
        <color rgb="FF0000FF"/>
        <rFont val="ＭＳ 明朝"/>
        <family val="1"/>
        <charset val="128"/>
      </rPr>
      <t>検索条件合致データ</t>
    </r>
    <r>
      <rPr>
        <sz val="11"/>
        <rFont val="ＭＳ 明朝"/>
        <family val="1"/>
        <charset val="128"/>
      </rPr>
      <t>→LEFT JOIN失敗</t>
    </r>
    <rPh sb="29" eb="30">
      <t>ゴ</t>
    </rPh>
    <phoneticPr fontId="3"/>
  </si>
  <si>
    <t>正常</t>
    <phoneticPr fontId="3"/>
  </si>
  <si>
    <t>削除区分以外</t>
    <phoneticPr fontId="3"/>
  </si>
  <si>
    <t>所属コード以外</t>
    <phoneticPr fontId="3"/>
  </si>
  <si>
    <t>新適用期間</t>
    <phoneticPr fontId="3"/>
  </si>
  <si>
    <t>S010</t>
    <phoneticPr fontId="3"/>
  </si>
  <si>
    <t>ORG_NAME_02</t>
    <phoneticPr fontId="3"/>
  </si>
  <si>
    <t>S110</t>
    <phoneticPr fontId="3"/>
  </si>
  <si>
    <t>最終更新者ユーザーＩＤ以外</t>
    <phoneticPr fontId="3"/>
  </si>
  <si>
    <t>USR00115</t>
    <phoneticPr fontId="3"/>
  </si>
  <si>
    <t>LAST_01</t>
    <phoneticPr fontId="3"/>
  </si>
  <si>
    <t>USER_NAME_151</t>
  </si>
  <si>
    <t>USER_NAME_151</t>
    <phoneticPr fontId="3"/>
  </si>
  <si>
    <t>USER_NAME_152</t>
  </si>
  <si>
    <t>USER_NAME_153</t>
  </si>
  <si>
    <t>USER_NAME_154</t>
  </si>
  <si>
    <t>取引先コード以外</t>
    <phoneticPr fontId="3"/>
  </si>
  <si>
    <t>TR013</t>
    <phoneticPr fontId="3"/>
  </si>
  <si>
    <t>CORP_C1</t>
  </si>
  <si>
    <t>CORP_C1</t>
    <phoneticPr fontId="3"/>
  </si>
  <si>
    <t>CORP_C2</t>
  </si>
  <si>
    <t>CORP_C3</t>
  </si>
  <si>
    <t>CORP_C4</t>
  </si>
  <si>
    <t>業種コード 以外</t>
    <phoneticPr fontId="3"/>
  </si>
  <si>
    <t>90</t>
    <phoneticPr fontId="3"/>
  </si>
  <si>
    <t>IND_NAME_101</t>
  </si>
  <si>
    <t>IND_NAME_101</t>
    <phoneticPr fontId="3"/>
  </si>
  <si>
    <t>IND_NAME_102</t>
  </si>
  <si>
    <t>IND_NAME_103</t>
  </si>
  <si>
    <t>IND_NAME_104</t>
  </si>
  <si>
    <t>境界値-適用開始年月日の前(関連用)</t>
    <rPh sb="0" eb="3">
      <t>キョウカイチ</t>
    </rPh>
    <rPh sb="14" eb="16">
      <t>カンレン</t>
    </rPh>
    <rPh sb="16" eb="17">
      <t>ヨウ</t>
    </rPh>
    <phoneticPr fontId="3"/>
  </si>
  <si>
    <t>境界値-適用終了年月日の後(関連用)</t>
    <rPh sb="0" eb="3">
      <t>キョウカイチ</t>
    </rPh>
    <phoneticPr fontId="3"/>
  </si>
  <si>
    <t>境界値-適用終了年月日(関連用)</t>
    <rPh sb="0" eb="3">
      <t>キョウカイチ</t>
    </rPh>
    <phoneticPr fontId="3"/>
  </si>
  <si>
    <t>境界値-適用開始年月日(関連用)</t>
    <rPh sb="0" eb="3">
      <t>キョウカイチ</t>
    </rPh>
    <phoneticPr fontId="3"/>
  </si>
  <si>
    <t>2026-12-20 10:00:00.000</t>
    <phoneticPr fontId="27"/>
  </si>
  <si>
    <t>2026-12-01 10:00:00.000</t>
    <phoneticPr fontId="27"/>
  </si>
  <si>
    <t>2026-12-25 10:00:00.000</t>
    <phoneticPr fontId="27"/>
  </si>
  <si>
    <t>2026-11-30 10:00:00.000</t>
    <phoneticPr fontId="27"/>
  </si>
  <si>
    <t>2026-12-26 10:00:00.000</t>
    <phoneticPr fontId="27"/>
  </si>
  <si>
    <t>00</t>
  </si>
  <si>
    <t>2～9</t>
    <phoneticPr fontId="3"/>
  </si>
  <si>
    <t>正常
order by</t>
    <phoneticPr fontId="3"/>
  </si>
  <si>
    <t>業種コード</t>
    <phoneticPr fontId="3"/>
  </si>
  <si>
    <t>S005</t>
    <phoneticPr fontId="3"/>
  </si>
  <si>
    <t>S006</t>
    <phoneticPr fontId="3"/>
  </si>
  <si>
    <t>給与区分</t>
    <phoneticPr fontId="3"/>
  </si>
  <si>
    <t>K003</t>
    <phoneticPr fontId="3"/>
  </si>
  <si>
    <t>人件費科目分類コード</t>
    <phoneticPr fontId="3"/>
  </si>
  <si>
    <t>04</t>
    <phoneticPr fontId="3"/>
  </si>
  <si>
    <t>05</t>
    <phoneticPr fontId="3"/>
  </si>
  <si>
    <t>入力区分-正常</t>
    <rPh sb="0" eb="2">
      <t>ニュウリョク</t>
    </rPh>
    <rPh sb="2" eb="4">
      <t>クブン</t>
    </rPh>
    <phoneticPr fontId="3"/>
  </si>
  <si>
    <t>給与区分-正常</t>
    <rPh sb="0" eb="2">
      <t>キュウヨ</t>
    </rPh>
    <rPh sb="2" eb="4">
      <t>クブン</t>
    </rPh>
    <phoneticPr fontId="3"/>
  </si>
  <si>
    <t>人件費科目分類-正常</t>
    <phoneticPr fontId="3"/>
  </si>
  <si>
    <t>03</t>
    <phoneticPr fontId="3"/>
  </si>
  <si>
    <t>人件費科目分類-正常</t>
    <rPh sb="0" eb="3">
      <t>ジンケンヒ</t>
    </rPh>
    <rPh sb="3" eb="5">
      <t>カモク</t>
    </rPh>
    <rPh sb="5" eb="7">
      <t>ブンルイ</t>
    </rPh>
    <phoneticPr fontId="3"/>
  </si>
  <si>
    <t>人件費科目区分-正常</t>
    <rPh sb="0" eb="3">
      <t>ジンケンヒ</t>
    </rPh>
    <rPh sb="3" eb="5">
      <t>カモク</t>
    </rPh>
    <rPh sb="5" eb="7">
      <t>クブン</t>
    </rPh>
    <phoneticPr fontId="3"/>
  </si>
  <si>
    <t>015</t>
    <phoneticPr fontId="3"/>
  </si>
  <si>
    <t>2025/12/20</t>
  </si>
  <si>
    <t>K010</t>
    <phoneticPr fontId="3"/>
  </si>
  <si>
    <t>K001</t>
    <phoneticPr fontId="27"/>
  </si>
  <si>
    <t>S005</t>
    <phoneticPr fontId="27"/>
  </si>
  <si>
    <t>S004</t>
    <phoneticPr fontId="3"/>
  </si>
  <si>
    <t>DAO+Mapperのメソッドの妥当性
基本入力一覧明細情報取得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</si>
</sst>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.00_);_(* \(#,##0.00\);_(* &quot;-&quot;??_);_(@_)"/>
    <numFmt numFmtId="177" formatCode="0_ "/>
    <numFmt numFmtId="178" formatCode="&quot;$&quot;#,##0_);\(&quot;$&quot;#,##0\)"/>
    <numFmt numFmtId="179" formatCode="#,##0;\-#,##0;&quot;-&quot;"/>
    <numFmt numFmtId="180" formatCode="&quot;$&quot;#,##0;[Red]\-&quot;$&quot;#,##0"/>
    <numFmt numFmtId="181" formatCode="&quot;$&quot;#,##0.00;[Red]\-&quot;$&quot;#,##0.00"/>
    <numFmt numFmtId="182" formatCode="0.0000000000"/>
    <numFmt numFmtId="183" formatCode="yyyy/mm/dd\ h:mm:ss.000"/>
    <numFmt numFmtId="184" formatCode="yyyy/mm/dd\ h:mm:ss"/>
    <numFmt numFmtId="185" formatCode="yyyy/mm/dd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・団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2"/>
      <name val="ＭＳ 明朝"/>
      <family val="1"/>
      <charset val="128"/>
    </font>
    <font>
      <b/>
      <sz val="10"/>
      <color rgb="FFFF0000"/>
      <name val="ＭＳ Ｐゴシック"/>
      <family val="3"/>
      <charset val="128"/>
    </font>
    <font>
      <sz val="11"/>
      <color rgb="FF0000FF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0000FF"/>
      <name val="ＭＳ Ｐ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1"/>
      <color rgb="FF7F878F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Noto Sans JP"/>
      <family val="3"/>
      <charset val="134"/>
    </font>
    <font>
      <b/>
      <sz val="11"/>
      <name val="ＭＳ 明朝"/>
      <family val="1"/>
      <charset val="128"/>
    </font>
    <font>
      <sz val="12"/>
      <name val="Noto Sans JP"/>
      <family val="1"/>
      <charset val="134"/>
    </font>
    <font>
      <sz val="11"/>
      <color rgb="FFFF0000"/>
      <name val="ＭＳ 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0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0" fillId="0" borderId="0">
      <alignment vertical="center" wrapText="1"/>
    </xf>
    <xf numFmtId="178" fontId="31" fillId="0" borderId="1" applyAlignment="0" applyProtection="0"/>
    <xf numFmtId="179" fontId="32" fillId="0" borderId="0" applyFill="0" applyBorder="0" applyAlignment="0"/>
    <xf numFmtId="0" fontId="33" fillId="0" borderId="0"/>
    <xf numFmtId="38" fontId="34" fillId="0" borderId="0" applyFont="0" applyFill="0" applyBorder="0" applyAlignment="0" applyProtection="0"/>
    <xf numFmtId="176" fontId="35" fillId="0" borderId="0" applyFont="0" applyFill="0" applyBorder="0" applyAlignment="0" applyProtection="0"/>
    <xf numFmtId="180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38" fontId="36" fillId="16" borderId="0" applyNumberFormat="0" applyBorder="0" applyAlignment="0" applyProtection="0"/>
    <xf numFmtId="0" fontId="37" fillId="0" borderId="0">
      <alignment horizontal="left"/>
    </xf>
    <xf numFmtId="0" fontId="38" fillId="0" borderId="2" applyNumberFormat="0" applyAlignment="0" applyProtection="0">
      <alignment horizontal="left" vertical="center"/>
    </xf>
    <xf numFmtId="0" fontId="38" fillId="0" borderId="3">
      <alignment horizontal="left" vertical="center"/>
    </xf>
    <xf numFmtId="10" fontId="36" fillId="16" borderId="4" applyNumberFormat="0" applyBorder="0" applyAlignment="0" applyProtection="0"/>
    <xf numFmtId="0" fontId="39" fillId="0" borderId="5"/>
    <xf numFmtId="182" fontId="6" fillId="0" borderId="0"/>
    <xf numFmtId="182" fontId="6" fillId="0" borderId="0"/>
    <xf numFmtId="182" fontId="6" fillId="0" borderId="0"/>
    <xf numFmtId="0" fontId="35" fillId="0" borderId="0"/>
    <xf numFmtId="10" fontId="35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horizontal="left"/>
    </xf>
    <xf numFmtId="0" fontId="31" fillId="0" borderId="5">
      <alignment horizontal="center"/>
    </xf>
    <xf numFmtId="0" fontId="40" fillId="0" borderId="6"/>
    <xf numFmtId="0" fontId="39" fillId="0" borderId="0"/>
    <xf numFmtId="0" fontId="4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1" borderId="7" applyNumberFormat="0" applyAlignment="0" applyProtection="0">
      <alignment vertical="center"/>
    </xf>
    <xf numFmtId="0" fontId="11" fillId="21" borderId="7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23" borderId="8" applyNumberFormat="0" applyFont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4" borderId="10" applyNumberFormat="0" applyAlignment="0" applyProtection="0">
      <alignment vertical="center"/>
    </xf>
    <xf numFmtId="0" fontId="15" fillId="24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4" borderId="15" applyNumberFormat="0" applyAlignment="0" applyProtection="0">
      <alignment vertical="center"/>
    </xf>
    <xf numFmtId="0" fontId="21" fillId="24" borderId="1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horizontal="center" vertical="center"/>
    </xf>
    <xf numFmtId="0" fontId="23" fillId="7" borderId="10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" fillId="0" borderId="0"/>
    <xf numFmtId="0" fontId="41" fillId="0" borderId="0"/>
    <xf numFmtId="0" fontId="42" fillId="0" borderId="0"/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24" borderId="15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4" fillId="0" borderId="0" xfId="110" applyFont="1" applyAlignment="1">
      <alignment vertical="center"/>
    </xf>
    <xf numFmtId="0" fontId="4" fillId="0" borderId="0" xfId="110" applyFont="1" applyAlignment="1">
      <alignment vertical="top"/>
    </xf>
    <xf numFmtId="0" fontId="5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110" applyFont="1" applyAlignment="1">
      <alignment vertical="top" wrapText="1"/>
    </xf>
    <xf numFmtId="49" fontId="4" fillId="0" borderId="0" xfId="110" applyNumberFormat="1" applyFont="1" applyAlignment="1">
      <alignment vertical="top" wrapText="1"/>
    </xf>
    <xf numFmtId="0" fontId="4" fillId="0" borderId="0" xfId="110" applyFont="1" applyAlignment="1">
      <alignment horizontal="center" vertical="top" wrapText="1"/>
    </xf>
    <xf numFmtId="0" fontId="6" fillId="0" borderId="0" xfId="107">
      <alignment vertical="center"/>
    </xf>
    <xf numFmtId="49" fontId="43" fillId="25" borderId="0" xfId="107" applyNumberFormat="1" applyFont="1" applyFill="1" applyAlignment="1">
      <alignment horizontal="left" vertical="top" wrapText="1"/>
    </xf>
    <xf numFmtId="49" fontId="6" fillId="25" borderId="0" xfId="107" applyNumberFormat="1" applyFill="1" applyAlignment="1">
      <alignment horizontal="left" vertical="top" wrapText="1"/>
    </xf>
    <xf numFmtId="0" fontId="28" fillId="0" borderId="0" xfId="107" applyFont="1">
      <alignment vertical="center"/>
    </xf>
    <xf numFmtId="0" fontId="6" fillId="25" borderId="0" xfId="107" applyFill="1">
      <alignment vertical="center"/>
    </xf>
    <xf numFmtId="0" fontId="29" fillId="25" borderId="0" xfId="107" applyFont="1" applyFill="1">
      <alignment vertical="center"/>
    </xf>
    <xf numFmtId="0" fontId="4" fillId="0" borderId="0" xfId="0" applyFont="1" applyAlignment="1">
      <alignment vertical="top" wrapText="1"/>
    </xf>
    <xf numFmtId="0" fontId="4" fillId="0" borderId="0" xfId="110" applyFont="1" applyAlignment="1">
      <alignment vertical="center" wrapText="1"/>
    </xf>
    <xf numFmtId="0" fontId="4" fillId="0" borderId="4" xfId="0" applyFont="1" applyBorder="1" applyAlignment="1">
      <alignment horizontal="right" vertical="top" wrapText="1"/>
    </xf>
    <xf numFmtId="0" fontId="4" fillId="0" borderId="0" xfId="0" applyFont="1" applyAlignment="1">
      <alignment vertical="center" wrapText="1"/>
    </xf>
    <xf numFmtId="0" fontId="4" fillId="0" borderId="0" xfId="108" applyFont="1" applyAlignment="1">
      <alignment wrapText="1"/>
    </xf>
    <xf numFmtId="0" fontId="4" fillId="0" borderId="0" xfId="108" applyFont="1" applyAlignment="1">
      <alignment horizontal="center" wrapText="1"/>
    </xf>
    <xf numFmtId="0" fontId="4" fillId="0" borderId="0" xfId="108" applyFont="1" applyAlignment="1">
      <alignment vertical="top" wrapText="1"/>
    </xf>
    <xf numFmtId="0" fontId="4" fillId="26" borderId="4" xfId="108" applyFont="1" applyFill="1" applyBorder="1" applyAlignment="1">
      <alignment horizontal="center" vertical="top" wrapText="1"/>
    </xf>
    <xf numFmtId="0" fontId="4" fillId="26" borderId="3" xfId="108" applyFont="1" applyFill="1" applyBorder="1" applyAlignment="1">
      <alignment horizontal="left" vertical="top" wrapText="1"/>
    </xf>
    <xf numFmtId="0" fontId="4" fillId="26" borderId="19" xfId="108" applyFont="1" applyFill="1" applyBorder="1" applyAlignment="1">
      <alignment horizontal="left" vertical="top" wrapText="1"/>
    </xf>
    <xf numFmtId="0" fontId="4" fillId="0" borderId="19" xfId="108" applyFont="1" applyBorder="1" applyAlignment="1">
      <alignment horizontal="left" vertical="top" wrapText="1"/>
    </xf>
    <xf numFmtId="177" fontId="4" fillId="0" borderId="4" xfId="108" applyNumberFormat="1" applyFont="1" applyBorder="1" applyAlignment="1">
      <alignment horizontal="center" vertical="center" wrapText="1"/>
    </xf>
    <xf numFmtId="0" fontId="4" fillId="0" borderId="4" xfId="108" applyFont="1" applyBorder="1" applyAlignment="1">
      <alignment horizontal="right" vertical="top" wrapText="1"/>
    </xf>
    <xf numFmtId="0" fontId="4" fillId="0" borderId="3" xfId="108" applyFont="1" applyBorder="1" applyAlignment="1">
      <alignment horizontal="left" vertical="top" wrapText="1"/>
    </xf>
    <xf numFmtId="0" fontId="4" fillId="0" borderId="4" xfId="108" applyFont="1" applyBorder="1" applyAlignment="1">
      <alignment horizontal="center" vertical="center" wrapText="1"/>
    </xf>
    <xf numFmtId="0" fontId="4" fillId="0" borderId="3" xfId="109" applyFont="1" applyBorder="1" applyAlignment="1">
      <alignment horizontal="left" vertical="top" wrapText="1"/>
    </xf>
    <xf numFmtId="0" fontId="4" fillId="0" borderId="40" xfId="108" applyFont="1" applyBorder="1" applyAlignment="1">
      <alignment horizontal="right" vertical="top" wrapText="1"/>
    </xf>
    <xf numFmtId="0" fontId="4" fillId="0" borderId="0" xfId="109" applyFont="1" applyAlignment="1">
      <alignment horizontal="left" vertical="top" wrapText="1"/>
    </xf>
    <xf numFmtId="0" fontId="4" fillId="0" borderId="18" xfId="108" applyFont="1" applyBorder="1" applyAlignment="1">
      <alignment horizontal="center" vertical="center" wrapText="1"/>
    </xf>
    <xf numFmtId="0" fontId="4" fillId="16" borderId="44" xfId="108" applyFont="1" applyFill="1" applyBorder="1" applyAlignment="1">
      <alignment horizontal="left" vertical="top" wrapText="1"/>
    </xf>
    <xf numFmtId="0" fontId="4" fillId="0" borderId="45" xfId="108" applyFont="1" applyBorder="1" applyAlignment="1">
      <alignment horizontal="center" vertical="center" wrapText="1"/>
    </xf>
    <xf numFmtId="0" fontId="4" fillId="0" borderId="16" xfId="108" applyFont="1" applyBorder="1" applyAlignment="1">
      <alignment horizontal="right" vertical="top" wrapText="1"/>
    </xf>
    <xf numFmtId="0" fontId="4" fillId="0" borderId="46" xfId="109" applyFont="1" applyBorder="1" applyAlignment="1">
      <alignment horizontal="left" vertical="top" wrapText="1"/>
    </xf>
    <xf numFmtId="0" fontId="4" fillId="0" borderId="41" xfId="108" applyFont="1" applyBorder="1" applyAlignment="1">
      <alignment horizontal="right" vertical="top" wrapText="1"/>
    </xf>
    <xf numFmtId="0" fontId="4" fillId="0" borderId="47" xfId="109" applyFont="1" applyBorder="1" applyAlignment="1">
      <alignment horizontal="left" vertical="top" wrapText="1"/>
    </xf>
    <xf numFmtId="0" fontId="4" fillId="0" borderId="0" xfId="108" applyFont="1"/>
    <xf numFmtId="0" fontId="4" fillId="26" borderId="4" xfId="0" applyFont="1" applyFill="1" applyBorder="1" applyAlignment="1">
      <alignment horizontal="center" vertical="center" wrapText="1"/>
    </xf>
    <xf numFmtId="0" fontId="4" fillId="26" borderId="40" xfId="108" applyFont="1" applyFill="1" applyBorder="1" applyAlignment="1">
      <alignment horizontal="left" vertical="top" wrapText="1"/>
    </xf>
    <xf numFmtId="0" fontId="4" fillId="26" borderId="20" xfId="108" applyFont="1" applyFill="1" applyBorder="1" applyAlignment="1">
      <alignment horizontal="left" vertical="top" wrapText="1"/>
    </xf>
    <xf numFmtId="0" fontId="4" fillId="26" borderId="43" xfId="108" applyFont="1" applyFill="1" applyBorder="1" applyAlignment="1">
      <alignment horizontal="left" vertical="top" wrapText="1"/>
    </xf>
    <xf numFmtId="0" fontId="4" fillId="26" borderId="20" xfId="108" applyFont="1" applyFill="1" applyBorder="1" applyAlignment="1">
      <alignment horizontal="left" vertical="center" wrapText="1"/>
    </xf>
    <xf numFmtId="0" fontId="4" fillId="26" borderId="3" xfId="108" applyFont="1" applyFill="1" applyBorder="1" applyAlignment="1">
      <alignment horizontal="right" vertical="top" wrapText="1"/>
    </xf>
    <xf numFmtId="0" fontId="4" fillId="26" borderId="3" xfId="108" applyFont="1" applyFill="1" applyBorder="1" applyAlignment="1">
      <alignment horizontal="center" vertical="center" wrapText="1"/>
    </xf>
    <xf numFmtId="0" fontId="4" fillId="26" borderId="19" xfId="108" applyFont="1" applyFill="1" applyBorder="1" applyAlignment="1">
      <alignment horizontal="center" vertical="center" wrapText="1"/>
    </xf>
    <xf numFmtId="0" fontId="5" fillId="26" borderId="16" xfId="0" applyFont="1" applyFill="1" applyBorder="1" applyAlignment="1">
      <alignment horizontal="center" vertical="center"/>
    </xf>
    <xf numFmtId="0" fontId="4" fillId="26" borderId="17" xfId="0" applyFont="1" applyFill="1" applyBorder="1" applyAlignment="1">
      <alignment horizontal="center" vertical="center" wrapText="1"/>
    </xf>
    <xf numFmtId="0" fontId="4" fillId="26" borderId="3" xfId="108" applyFont="1" applyFill="1" applyBorder="1" applyAlignment="1">
      <alignment vertical="top" wrapText="1"/>
    </xf>
    <xf numFmtId="0" fontId="4" fillId="26" borderId="42" xfId="108" applyFont="1" applyFill="1" applyBorder="1" applyAlignment="1">
      <alignment horizontal="center" vertical="top" wrapText="1"/>
    </xf>
    <xf numFmtId="0" fontId="4" fillId="26" borderId="19" xfId="108" applyFont="1" applyFill="1" applyBorder="1" applyAlignment="1">
      <alignment vertical="top" wrapText="1"/>
    </xf>
    <xf numFmtId="0" fontId="4" fillId="26" borderId="16" xfId="108" applyFont="1" applyFill="1" applyBorder="1" applyAlignment="1">
      <alignment horizontal="left" vertical="center" wrapText="1"/>
    </xf>
    <xf numFmtId="0" fontId="4" fillId="26" borderId="17" xfId="108" applyFont="1" applyFill="1" applyBorder="1" applyAlignment="1">
      <alignment horizontal="center" vertical="top" wrapText="1"/>
    </xf>
    <xf numFmtId="0" fontId="4" fillId="26" borderId="4" xfId="108" applyFont="1" applyFill="1" applyBorder="1" applyAlignment="1">
      <alignment horizontal="left" vertical="center" wrapText="1"/>
    </xf>
    <xf numFmtId="177" fontId="4" fillId="0" borderId="4" xfId="108" applyNumberFormat="1" applyFont="1" applyBorder="1" applyAlignment="1">
      <alignment horizontal="left" vertical="center" wrapText="1"/>
    </xf>
    <xf numFmtId="0" fontId="4" fillId="0" borderId="3" xfId="108" applyFont="1" applyBorder="1" applyAlignment="1">
      <alignment horizontal="right" vertical="center" wrapText="1"/>
    </xf>
    <xf numFmtId="0" fontId="4" fillId="0" borderId="0" xfId="110" applyFont="1" applyAlignment="1">
      <alignment horizontal="center" vertical="center" wrapText="1"/>
    </xf>
    <xf numFmtId="0" fontId="6" fillId="0" borderId="0" xfId="107" applyAlignment="1">
      <alignment horizontal="right" vertical="center"/>
    </xf>
    <xf numFmtId="0" fontId="43" fillId="25" borderId="0" xfId="107" applyFont="1" applyFill="1" applyAlignment="1">
      <alignment horizontal="center" vertical="center"/>
    </xf>
    <xf numFmtId="0" fontId="4" fillId="0" borderId="48" xfId="0" applyFont="1" applyBorder="1" applyAlignment="1">
      <alignment horizontal="center" vertical="top" wrapText="1"/>
    </xf>
    <xf numFmtId="14" fontId="4" fillId="0" borderId="49" xfId="0" applyNumberFormat="1" applyFont="1" applyBorder="1" applyAlignment="1">
      <alignment horizontal="center" vertical="top" wrapText="1"/>
    </xf>
    <xf numFmtId="0" fontId="4" fillId="26" borderId="16" xfId="0" applyFont="1" applyFill="1" applyBorder="1" applyAlignment="1">
      <alignment horizontal="center" vertical="center" wrapText="1"/>
    </xf>
    <xf numFmtId="49" fontId="41" fillId="0" borderId="0" xfId="0" applyNumberFormat="1" applyFont="1">
      <alignment vertical="center"/>
    </xf>
    <xf numFmtId="0" fontId="0" fillId="0" borderId="4" xfId="0" applyBorder="1" applyAlignment="1"/>
    <xf numFmtId="0" fontId="4" fillId="28" borderId="3" xfId="109" applyFont="1" applyFill="1" applyBorder="1" applyAlignment="1">
      <alignment vertical="top" wrapText="1"/>
    </xf>
    <xf numFmtId="0" fontId="4" fillId="28" borderId="19" xfId="108" applyFont="1" applyFill="1" applyBorder="1" applyAlignment="1">
      <alignment horizontal="left" vertical="top" wrapText="1"/>
    </xf>
    <xf numFmtId="0" fontId="4" fillId="28" borderId="4" xfId="108" applyFont="1" applyFill="1" applyBorder="1" applyAlignment="1">
      <alignment horizontal="center" vertical="center" wrapText="1"/>
    </xf>
    <xf numFmtId="0" fontId="4" fillId="29" borderId="3" xfId="109" applyFont="1" applyFill="1" applyBorder="1" applyAlignment="1">
      <alignment vertical="top" wrapText="1"/>
    </xf>
    <xf numFmtId="0" fontId="4" fillId="29" borderId="19" xfId="108" applyFont="1" applyFill="1" applyBorder="1" applyAlignment="1">
      <alignment horizontal="left" vertical="top" wrapText="1"/>
    </xf>
    <xf numFmtId="0" fontId="4" fillId="29" borderId="4" xfId="108" applyFont="1" applyFill="1" applyBorder="1" applyAlignment="1">
      <alignment horizontal="center" vertical="center" wrapText="1"/>
    </xf>
    <xf numFmtId="0" fontId="4" fillId="28" borderId="3" xfId="109" applyFont="1" applyFill="1" applyBorder="1" applyAlignment="1">
      <alignment horizontal="left" vertical="top" wrapText="1"/>
    </xf>
    <xf numFmtId="0" fontId="49" fillId="0" borderId="4" xfId="108" applyFont="1" applyBorder="1" applyAlignment="1">
      <alignment horizontal="center" vertical="center" wrapText="1"/>
    </xf>
    <xf numFmtId="0" fontId="4" fillId="0" borderId="0" xfId="108" applyFont="1" applyAlignment="1">
      <alignment vertical="center" textRotation="255"/>
    </xf>
    <xf numFmtId="0" fontId="4" fillId="0" borderId="0" xfId="108" applyFont="1" applyAlignment="1">
      <alignment vertical="top" textRotation="255"/>
    </xf>
    <xf numFmtId="0" fontId="4" fillId="0" borderId="3" xfId="0" applyFont="1" applyBorder="1" applyAlignment="1">
      <alignment horizontal="left" vertical="top" wrapText="1"/>
    </xf>
    <xf numFmtId="0" fontId="41" fillId="0" borderId="0" xfId="0" applyFont="1">
      <alignment vertical="center"/>
    </xf>
    <xf numFmtId="0" fontId="48" fillId="30" borderId="4" xfId="0" applyFont="1" applyFill="1" applyBorder="1">
      <alignment vertical="center"/>
    </xf>
    <xf numFmtId="0" fontId="41" fillId="30" borderId="50" xfId="0" applyFont="1" applyFill="1" applyBorder="1" applyAlignment="1">
      <alignment vertical="center" wrapText="1"/>
    </xf>
    <xf numFmtId="0" fontId="41" fillId="30" borderId="50" xfId="0" applyFont="1" applyFill="1" applyBorder="1">
      <alignment vertical="center"/>
    </xf>
    <xf numFmtId="0" fontId="41" fillId="0" borderId="50" xfId="0" applyFont="1" applyBorder="1" applyAlignment="1">
      <alignment vertical="center" wrapText="1"/>
    </xf>
    <xf numFmtId="49" fontId="41" fillId="27" borderId="4" xfId="0" applyNumberFormat="1" applyFont="1" applyFill="1" applyBorder="1">
      <alignment vertical="center"/>
    </xf>
    <xf numFmtId="0" fontId="41" fillId="0" borderId="50" xfId="0" applyFont="1" applyBorder="1" applyAlignment="1">
      <alignment horizontal="left" vertical="center"/>
    </xf>
    <xf numFmtId="0" fontId="52" fillId="0" borderId="0" xfId="110" applyFont="1" applyAlignment="1">
      <alignment vertical="center"/>
    </xf>
    <xf numFmtId="0" fontId="4" fillId="25" borderId="3" xfId="108" applyFont="1" applyFill="1" applyBorder="1" applyAlignment="1">
      <alignment horizontal="left" vertical="top" wrapText="1"/>
    </xf>
    <xf numFmtId="49" fontId="0" fillId="0" borderId="50" xfId="0" applyNumberFormat="1" applyBorder="1">
      <alignment vertical="center"/>
    </xf>
    <xf numFmtId="1" fontId="0" fillId="0" borderId="50" xfId="0" applyNumberFormat="1" applyBorder="1" applyAlignment="1">
      <alignment horizontal="right" vertical="center"/>
    </xf>
    <xf numFmtId="183" fontId="0" fillId="0" borderId="50" xfId="0" applyNumberFormat="1" applyBorder="1" applyAlignment="1">
      <alignment horizontal="right" vertical="center"/>
    </xf>
    <xf numFmtId="0" fontId="54" fillId="0" borderId="50" xfId="0" applyFont="1" applyBorder="1">
      <alignment vertical="center"/>
    </xf>
    <xf numFmtId="0" fontId="53" fillId="0" borderId="4" xfId="0" applyFont="1" applyBorder="1" applyAlignment="1"/>
    <xf numFmtId="0" fontId="49" fillId="29" borderId="4" xfId="108" applyFont="1" applyFill="1" applyBorder="1" applyAlignment="1">
      <alignment horizontal="center" vertical="center" wrapText="1"/>
    </xf>
    <xf numFmtId="49" fontId="55" fillId="0" borderId="4" xfId="0" applyNumberFormat="1" applyFont="1" applyBorder="1">
      <alignment vertical="center"/>
    </xf>
    <xf numFmtId="0" fontId="41" fillId="0" borderId="0" xfId="0" applyFont="1" applyAlignment="1">
      <alignment horizontal="left" vertical="center"/>
    </xf>
    <xf numFmtId="49" fontId="55" fillId="0" borderId="0" xfId="0" applyNumberFormat="1" applyFont="1">
      <alignment vertical="center"/>
    </xf>
    <xf numFmtId="184" fontId="0" fillId="0" borderId="50" xfId="0" applyNumberFormat="1" applyBorder="1" applyAlignment="1">
      <alignment horizontal="right" vertical="center"/>
    </xf>
    <xf numFmtId="185" fontId="0" fillId="0" borderId="50" xfId="0" applyNumberFormat="1" applyBorder="1" applyAlignment="1">
      <alignment horizontal="right" vertical="center"/>
    </xf>
    <xf numFmtId="49" fontId="0" fillId="0" borderId="0" xfId="0" applyNumberFormat="1">
      <alignment vertical="center"/>
    </xf>
    <xf numFmtId="1" fontId="0" fillId="0" borderId="0" xfId="0" applyNumberFormat="1" applyAlignment="1">
      <alignment horizontal="right" vertical="center"/>
    </xf>
    <xf numFmtId="183" fontId="0" fillId="0" borderId="0" xfId="0" applyNumberFormat="1" applyAlignment="1">
      <alignment horizontal="right" vertical="center"/>
    </xf>
    <xf numFmtId="49" fontId="0" fillId="31" borderId="50" xfId="0" applyNumberFormat="1" applyFill="1" applyBorder="1">
      <alignment vertical="center"/>
    </xf>
    <xf numFmtId="49" fontId="0" fillId="32" borderId="50" xfId="0" applyNumberFormat="1" applyFill="1" applyBorder="1">
      <alignment vertical="center"/>
    </xf>
    <xf numFmtId="49" fontId="0" fillId="33" borderId="50" xfId="0" applyNumberFormat="1" applyFill="1" applyBorder="1">
      <alignment vertical="center"/>
    </xf>
    <xf numFmtId="49" fontId="0" fillId="27" borderId="50" xfId="0" applyNumberFormat="1" applyFill="1" applyBorder="1">
      <alignment vertical="center"/>
    </xf>
    <xf numFmtId="49" fontId="57" fillId="0" borderId="0" xfId="0" applyNumberFormat="1" applyFont="1">
      <alignment vertical="center"/>
    </xf>
    <xf numFmtId="0" fontId="57" fillId="0" borderId="0" xfId="0" applyFont="1">
      <alignment vertical="center"/>
    </xf>
    <xf numFmtId="0" fontId="54" fillId="0" borderId="0" xfId="0" applyFont="1">
      <alignment vertical="center"/>
    </xf>
    <xf numFmtId="49" fontId="59" fillId="0" borderId="4" xfId="0" applyNumberFormat="1" applyFont="1" applyBorder="1" applyAlignment="1">
      <alignment horizontal="right" vertical="center"/>
    </xf>
    <xf numFmtId="14" fontId="0" fillId="0" borderId="4" xfId="0" applyNumberFormat="1" applyBorder="1" applyAlignment="1"/>
    <xf numFmtId="22" fontId="0" fillId="0" borderId="4" xfId="0" applyNumberFormat="1" applyBorder="1" applyAlignment="1"/>
    <xf numFmtId="49" fontId="53" fillId="0" borderId="50" xfId="0" applyNumberFormat="1" applyFont="1" applyBorder="1">
      <alignment vertical="center"/>
    </xf>
    <xf numFmtId="0" fontId="29" fillId="0" borderId="21" xfId="107" applyFont="1" applyBorder="1" applyAlignment="1">
      <alignment horizontal="center" vertical="center"/>
    </xf>
    <xf numFmtId="0" fontId="29" fillId="0" borderId="22" xfId="107" applyFont="1" applyBorder="1" applyAlignment="1">
      <alignment horizontal="center" vertical="center"/>
    </xf>
    <xf numFmtId="0" fontId="29" fillId="0" borderId="23" xfId="107" applyFont="1" applyBorder="1" applyAlignment="1">
      <alignment horizontal="center" vertical="center"/>
    </xf>
    <xf numFmtId="0" fontId="6" fillId="26" borderId="24" xfId="107" applyFill="1" applyBorder="1" applyAlignment="1">
      <alignment horizontal="center" vertical="center"/>
    </xf>
    <xf numFmtId="0" fontId="6" fillId="26" borderId="25" xfId="107" applyFill="1" applyBorder="1" applyAlignment="1">
      <alignment horizontal="center" vertical="center"/>
    </xf>
    <xf numFmtId="0" fontId="6" fillId="26" borderId="26" xfId="107" applyFill="1" applyBorder="1" applyAlignment="1">
      <alignment horizontal="center" vertical="center"/>
    </xf>
    <xf numFmtId="0" fontId="44" fillId="26" borderId="21" xfId="107" applyFont="1" applyFill="1" applyBorder="1" applyAlignment="1">
      <alignment horizontal="center" vertical="center" shrinkToFit="1"/>
    </xf>
    <xf numFmtId="0" fontId="44" fillId="26" borderId="22" xfId="107" applyFont="1" applyFill="1" applyBorder="1" applyAlignment="1">
      <alignment horizontal="center" vertical="center" shrinkToFit="1"/>
    </xf>
    <xf numFmtId="0" fontId="44" fillId="26" borderId="27" xfId="107" applyFont="1" applyFill="1" applyBorder="1" applyAlignment="1">
      <alignment horizontal="center" vertical="center" shrinkToFit="1"/>
    </xf>
    <xf numFmtId="49" fontId="44" fillId="0" borderId="28" xfId="107" applyNumberFormat="1" applyFont="1" applyBorder="1" applyAlignment="1">
      <alignment horizontal="center" vertical="center" wrapText="1"/>
    </xf>
    <xf numFmtId="49" fontId="44" fillId="0" borderId="22" xfId="107" applyNumberFormat="1" applyFont="1" applyBorder="1" applyAlignment="1">
      <alignment horizontal="center" vertical="center" wrapText="1"/>
    </xf>
    <xf numFmtId="49" fontId="44" fillId="0" borderId="23" xfId="107" applyNumberFormat="1" applyFont="1" applyBorder="1" applyAlignment="1">
      <alignment horizontal="center" vertical="center" wrapText="1"/>
    </xf>
    <xf numFmtId="49" fontId="44" fillId="0" borderId="28" xfId="107" applyNumberFormat="1" applyFont="1" applyBorder="1" applyAlignment="1">
      <alignment horizontal="left" vertical="center" wrapText="1"/>
    </xf>
    <xf numFmtId="49" fontId="44" fillId="0" borderId="22" xfId="107" applyNumberFormat="1" applyFont="1" applyBorder="1" applyAlignment="1">
      <alignment horizontal="left" vertical="center" wrapText="1"/>
    </xf>
    <xf numFmtId="49" fontId="44" fillId="0" borderId="23" xfId="107" applyNumberFormat="1" applyFont="1" applyBorder="1" applyAlignment="1">
      <alignment horizontal="left" vertical="center" wrapText="1"/>
    </xf>
    <xf numFmtId="0" fontId="43" fillId="25" borderId="0" xfId="107" applyFont="1" applyFill="1" applyAlignment="1">
      <alignment horizontal="center" vertical="center"/>
    </xf>
    <xf numFmtId="0" fontId="6" fillId="25" borderId="0" xfId="107" applyFill="1" applyAlignment="1">
      <alignment horizontal="center" vertical="center"/>
    </xf>
    <xf numFmtId="0" fontId="44" fillId="26" borderId="29" xfId="107" applyFont="1" applyFill="1" applyBorder="1" applyAlignment="1">
      <alignment horizontal="center" vertical="center" shrinkToFit="1"/>
    </xf>
    <xf numFmtId="0" fontId="44" fillId="26" borderId="3" xfId="107" applyFont="1" applyFill="1" applyBorder="1" applyAlignment="1">
      <alignment horizontal="center" vertical="center" shrinkToFit="1"/>
    </xf>
    <xf numFmtId="0" fontId="44" fillId="26" borderId="19" xfId="107" applyFont="1" applyFill="1" applyBorder="1" applyAlignment="1">
      <alignment horizontal="center" vertical="center" shrinkToFit="1"/>
    </xf>
    <xf numFmtId="49" fontId="26" fillId="0" borderId="17" xfId="107" applyNumberFormat="1" applyFont="1" applyBorder="1" applyAlignment="1">
      <alignment horizontal="left" vertical="center" wrapText="1"/>
    </xf>
    <xf numFmtId="49" fontId="26" fillId="0" borderId="3" xfId="107" applyNumberFormat="1" applyFont="1" applyBorder="1" applyAlignment="1">
      <alignment horizontal="left" vertical="center" wrapText="1"/>
    </xf>
    <xf numFmtId="49" fontId="26" fillId="0" borderId="30" xfId="107" applyNumberFormat="1" applyFont="1" applyBorder="1" applyAlignment="1">
      <alignment horizontal="left" vertical="center" wrapText="1"/>
    </xf>
    <xf numFmtId="49" fontId="26" fillId="0" borderId="17" xfId="107" applyNumberFormat="1" applyFont="1" applyBorder="1" applyAlignment="1">
      <alignment horizontal="center" vertical="center" wrapText="1"/>
    </xf>
    <xf numFmtId="49" fontId="26" fillId="0" borderId="3" xfId="107" applyNumberFormat="1" applyFont="1" applyBorder="1" applyAlignment="1">
      <alignment horizontal="center" vertical="center" wrapText="1"/>
    </xf>
    <xf numFmtId="49" fontId="26" fillId="0" borderId="30" xfId="107" applyNumberFormat="1" applyFont="1" applyBorder="1" applyAlignment="1">
      <alignment horizontal="center" vertical="center" wrapText="1"/>
    </xf>
    <xf numFmtId="0" fontId="26" fillId="0" borderId="17" xfId="107" applyFont="1" applyBorder="1" applyAlignment="1">
      <alignment horizontal="left" vertical="center" wrapText="1"/>
    </xf>
    <xf numFmtId="0" fontId="26" fillId="26" borderId="29" xfId="107" applyFont="1" applyFill="1" applyBorder="1" applyAlignment="1">
      <alignment horizontal="center" vertical="center" shrinkToFit="1"/>
    </xf>
    <xf numFmtId="0" fontId="26" fillId="26" borderId="3" xfId="107" applyFont="1" applyFill="1" applyBorder="1" applyAlignment="1">
      <alignment horizontal="center" vertical="center" shrinkToFit="1"/>
    </xf>
    <xf numFmtId="0" fontId="26" fillId="26" borderId="19" xfId="107" applyFont="1" applyFill="1" applyBorder="1" applyAlignment="1">
      <alignment horizontal="center" vertical="center" shrinkToFit="1"/>
    </xf>
    <xf numFmtId="0" fontId="25" fillId="26" borderId="31" xfId="107" applyFont="1" applyFill="1" applyBorder="1" applyAlignment="1">
      <alignment horizontal="center" vertical="center" wrapText="1"/>
    </xf>
    <xf numFmtId="0" fontId="25" fillId="26" borderId="32" xfId="107" applyFont="1" applyFill="1" applyBorder="1" applyAlignment="1">
      <alignment horizontal="center" vertical="center"/>
    </xf>
    <xf numFmtId="0" fontId="25" fillId="26" borderId="33" xfId="107" applyFont="1" applyFill="1" applyBorder="1" applyAlignment="1">
      <alignment horizontal="center" vertical="center"/>
    </xf>
    <xf numFmtId="0" fontId="25" fillId="26" borderId="34" xfId="107" applyFont="1" applyFill="1" applyBorder="1" applyAlignment="1">
      <alignment horizontal="center" vertical="center"/>
    </xf>
    <xf numFmtId="0" fontId="25" fillId="26" borderId="0" xfId="107" applyFont="1" applyFill="1" applyAlignment="1">
      <alignment horizontal="center" vertical="center"/>
    </xf>
    <xf numFmtId="0" fontId="25" fillId="26" borderId="35" xfId="107" applyFont="1" applyFill="1" applyBorder="1" applyAlignment="1">
      <alignment horizontal="center" vertical="center"/>
    </xf>
    <xf numFmtId="0" fontId="25" fillId="26" borderId="36" xfId="107" applyFont="1" applyFill="1" applyBorder="1" applyAlignment="1">
      <alignment horizontal="center" vertical="center"/>
    </xf>
    <xf numFmtId="0" fontId="25" fillId="26" borderId="5" xfId="107" applyFont="1" applyFill="1" applyBorder="1" applyAlignment="1">
      <alignment horizontal="center" vertical="center"/>
    </xf>
    <xf numFmtId="0" fontId="25" fillId="26" borderId="37" xfId="107" applyFont="1" applyFill="1" applyBorder="1" applyAlignment="1">
      <alignment horizontal="center" vertical="center"/>
    </xf>
    <xf numFmtId="0" fontId="26" fillId="26" borderId="24" xfId="107" applyFont="1" applyFill="1" applyBorder="1" applyAlignment="1">
      <alignment horizontal="center" vertical="center" shrinkToFit="1"/>
    </xf>
    <xf numFmtId="0" fontId="26" fillId="26" borderId="25" xfId="107" applyFont="1" applyFill="1" applyBorder="1" applyAlignment="1">
      <alignment horizontal="center" vertical="center" shrinkToFit="1"/>
    </xf>
    <xf numFmtId="0" fontId="26" fillId="26" borderId="38" xfId="107" applyFont="1" applyFill="1" applyBorder="1" applyAlignment="1">
      <alignment horizontal="center" vertical="center" shrinkToFit="1"/>
    </xf>
    <xf numFmtId="49" fontId="26" fillId="0" borderId="39" xfId="107" applyNumberFormat="1" applyFont="1" applyBorder="1" applyAlignment="1">
      <alignment horizontal="left" vertical="center" wrapText="1"/>
    </xf>
    <xf numFmtId="49" fontId="26" fillId="0" borderId="25" xfId="107" applyNumberFormat="1" applyFont="1" applyBorder="1" applyAlignment="1">
      <alignment horizontal="left" vertical="center" wrapText="1"/>
    </xf>
    <xf numFmtId="49" fontId="26" fillId="0" borderId="26" xfId="107" applyNumberFormat="1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top" wrapText="1"/>
    </xf>
    <xf numFmtId="0" fontId="4" fillId="0" borderId="41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41" fillId="0" borderId="0" xfId="0" applyFont="1">
      <alignment vertical="center"/>
    </xf>
  </cellXfs>
  <cellStyles count="130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パーセント 2" xfId="129" xr:uid="{8280C438-1AB7-478F-9305-5196EBE7F61D}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3" xfId="107" xr:uid="{00000000-0005-0000-0000-00006B000000}"/>
    <cellStyle name="標準 3 2" xfId="126" xr:uid="{D5DDE0B4-2D27-4635-875F-069E5CAF4BA7}"/>
    <cellStyle name="標準 4" xfId="128" xr:uid="{16B04D87-7E03-4F81-B0D8-CF50D5BB2C61}"/>
    <cellStyle name="標準 4 2" xfId="125" xr:uid="{2CAC4627-D577-4372-B290-CC30CC59EF4E}"/>
    <cellStyle name="標準 4 2 2" xfId="127" xr:uid="{2545D5C4-F00D-4918-9AEF-391F2E6CFA05}"/>
    <cellStyle name="標準_05_単体テスト仕様書フォーマット" xfId="108" xr:uid="{00000000-0005-0000-0000-00006D000000}"/>
    <cellStyle name="標準_単体テスト仕様書Sample(PContBL)" xfId="109" xr:uid="{00000000-0005-0000-0000-00006E000000}"/>
    <cellStyle name="標準_値リスト" xfId="110" xr:uid="{00000000-0005-0000-0000-00006F000000}"/>
    <cellStyle name="標準仕様書" xfId="111" xr:uid="{00000000-0005-0000-0000-000070000000}"/>
    <cellStyle name="未定義" xfId="112" xr:uid="{00000000-0005-0000-0000-000071000000}"/>
    <cellStyle name="良い 2" xfId="113" xr:uid="{00000000-0005-0000-0000-000072000000}"/>
    <cellStyle name="良い 3" xfId="114" xr:uid="{00000000-0005-0000-0000-000073000000}"/>
    <cellStyle name="㼿" xfId="115" xr:uid="{00000000-0005-0000-0000-000074000000}"/>
    <cellStyle name="㼿?" xfId="116" xr:uid="{00000000-0005-0000-0000-000075000000}"/>
    <cellStyle name="㼿㼿" xfId="117" xr:uid="{00000000-0005-0000-0000-000076000000}"/>
    <cellStyle name="㼿㼿?" xfId="118" xr:uid="{00000000-0005-0000-0000-000077000000}"/>
    <cellStyle name="㼿㼿㼿" xfId="119" xr:uid="{00000000-0005-0000-0000-000078000000}"/>
    <cellStyle name="㼿㼿㼿?" xfId="120" xr:uid="{00000000-0005-0000-0000-000079000000}"/>
    <cellStyle name="㼿㼿㼿㼿" xfId="121" xr:uid="{00000000-0005-0000-0000-00007A000000}"/>
    <cellStyle name="㼿㼿㼿㼿?" xfId="122" xr:uid="{00000000-0005-0000-0000-00007B000000}"/>
    <cellStyle name="㼿㼿㼿㼿㼿㼿?" xfId="123" xr:uid="{00000000-0005-0000-0000-00007C000000}"/>
    <cellStyle name="㼿㼿㼿㼿㼿㼿㼿?" xfId="124" xr:uid="{00000000-0005-0000-0000-00007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7"/>
  <sheetViews>
    <sheetView zoomScaleNormal="100" workbookViewId="0"/>
  </sheetViews>
  <sheetFormatPr defaultColWidth="3" defaultRowHeight="13.5"/>
  <cols>
    <col min="1" max="55" width="3" style="8"/>
    <col min="56" max="56" width="4.625" style="8" bestFit="1" customWidth="1"/>
    <col min="57" max="58" width="3" style="8"/>
    <col min="59" max="59" width="4.625" style="8" bestFit="1" customWidth="1"/>
    <col min="60" max="16384" width="3" style="8"/>
  </cols>
  <sheetData>
    <row r="1" spans="1:49">
      <c r="AQ1" s="59" t="s">
        <v>0</v>
      </c>
    </row>
    <row r="2" spans="1:49">
      <c r="AQ2" s="59"/>
    </row>
    <row r="3" spans="1:49" ht="14.25" thickBot="1"/>
    <row r="4" spans="1:49">
      <c r="A4" s="141" t="s">
        <v>1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</row>
    <row r="5" spans="1:49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6"/>
    </row>
    <row r="6" spans="1:49">
      <c r="A6" s="144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6"/>
    </row>
    <row r="7" spans="1:49">
      <c r="A7" s="144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6"/>
    </row>
    <row r="8" spans="1:49">
      <c r="A8" s="144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6"/>
    </row>
    <row r="9" spans="1:49">
      <c r="A9" s="144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6"/>
    </row>
    <row r="10" spans="1:49">
      <c r="A10" s="144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6"/>
    </row>
    <row r="11" spans="1:49" ht="14.25" thickBot="1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9"/>
    </row>
    <row r="13" spans="1:49" ht="14.25" thickBot="1"/>
    <row r="14" spans="1:49" ht="26.25" customHeight="1">
      <c r="A14" s="150" t="s">
        <v>2</v>
      </c>
      <c r="B14" s="151"/>
      <c r="C14" s="151"/>
      <c r="D14" s="151"/>
      <c r="E14" s="151"/>
      <c r="F14" s="151"/>
      <c r="G14" s="152"/>
      <c r="H14" s="153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5"/>
      <c r="X14" s="150" t="s">
        <v>3</v>
      </c>
      <c r="Y14" s="151"/>
      <c r="Z14" s="151"/>
      <c r="AA14" s="151"/>
      <c r="AB14" s="151"/>
      <c r="AC14" s="152"/>
      <c r="AD14" s="153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</row>
    <row r="15" spans="1:49" ht="26.25" customHeight="1">
      <c r="A15" s="138" t="s">
        <v>4</v>
      </c>
      <c r="B15" s="139"/>
      <c r="C15" s="139"/>
      <c r="D15" s="139"/>
      <c r="E15" s="139"/>
      <c r="F15" s="139"/>
      <c r="G15" s="140"/>
      <c r="H15" s="131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3"/>
      <c r="X15" s="138" t="s">
        <v>5</v>
      </c>
      <c r="Y15" s="139"/>
      <c r="Z15" s="139"/>
      <c r="AA15" s="139"/>
      <c r="AB15" s="139"/>
      <c r="AC15" s="140"/>
      <c r="AD15" s="131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3"/>
    </row>
    <row r="16" spans="1:49" ht="26.25" customHeight="1">
      <c r="A16" s="128" t="s">
        <v>6</v>
      </c>
      <c r="B16" s="129"/>
      <c r="C16" s="129"/>
      <c r="D16" s="129"/>
      <c r="E16" s="129"/>
      <c r="F16" s="129"/>
      <c r="G16" s="130"/>
      <c r="H16" s="131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3"/>
      <c r="X16" s="128" t="s">
        <v>7</v>
      </c>
      <c r="Y16" s="129"/>
      <c r="Z16" s="129"/>
      <c r="AA16" s="129"/>
      <c r="AB16" s="129"/>
      <c r="AC16" s="130"/>
      <c r="AD16" s="131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3"/>
    </row>
    <row r="17" spans="1:49" ht="26.25" customHeight="1">
      <c r="A17" s="128" t="s">
        <v>8</v>
      </c>
      <c r="B17" s="129"/>
      <c r="C17" s="129"/>
      <c r="D17" s="129"/>
      <c r="E17" s="129"/>
      <c r="F17" s="129"/>
      <c r="G17" s="130"/>
      <c r="H17" s="131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3"/>
      <c r="X17" s="128" t="s">
        <v>9</v>
      </c>
      <c r="Y17" s="129"/>
      <c r="Z17" s="129"/>
      <c r="AA17" s="129"/>
      <c r="AB17" s="129"/>
      <c r="AC17" s="130"/>
      <c r="AD17" s="131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3"/>
    </row>
    <row r="18" spans="1:49" ht="26.25" customHeight="1">
      <c r="A18" s="128" t="s">
        <v>10</v>
      </c>
      <c r="B18" s="129"/>
      <c r="C18" s="129"/>
      <c r="D18" s="129"/>
      <c r="E18" s="129"/>
      <c r="F18" s="129"/>
      <c r="G18" s="130"/>
      <c r="H18" s="131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3"/>
      <c r="X18" s="128" t="s">
        <v>11</v>
      </c>
      <c r="Y18" s="129"/>
      <c r="Z18" s="129"/>
      <c r="AA18" s="129"/>
      <c r="AB18" s="129"/>
      <c r="AC18" s="130"/>
      <c r="AD18" s="131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3"/>
    </row>
    <row r="19" spans="1:49" ht="26.25" customHeight="1">
      <c r="A19" s="128" t="s">
        <v>12</v>
      </c>
      <c r="B19" s="129"/>
      <c r="C19" s="129"/>
      <c r="D19" s="129"/>
      <c r="E19" s="129"/>
      <c r="F19" s="129"/>
      <c r="G19" s="130"/>
      <c r="H19" s="134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6"/>
      <c r="X19" s="128" t="s">
        <v>13</v>
      </c>
      <c r="Y19" s="129"/>
      <c r="Z19" s="129"/>
      <c r="AA19" s="129"/>
      <c r="AB19" s="129"/>
      <c r="AC19" s="130"/>
      <c r="AD19" s="137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3"/>
    </row>
    <row r="20" spans="1:49" ht="26.25" customHeight="1" thickBot="1">
      <c r="A20" s="117" t="s">
        <v>14</v>
      </c>
      <c r="B20" s="118"/>
      <c r="C20" s="118"/>
      <c r="D20" s="118"/>
      <c r="E20" s="118"/>
      <c r="F20" s="118"/>
      <c r="G20" s="119"/>
      <c r="H20" s="120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2"/>
      <c r="X20" s="117" t="s">
        <v>15</v>
      </c>
      <c r="Y20" s="118"/>
      <c r="Z20" s="118"/>
      <c r="AA20" s="118"/>
      <c r="AB20" s="118"/>
      <c r="AC20" s="119"/>
      <c r="AD20" s="123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5"/>
    </row>
    <row r="21" spans="1:49" ht="26.25" customHeight="1">
      <c r="A21" s="126"/>
      <c r="B21" s="126"/>
      <c r="C21" s="126"/>
      <c r="D21" s="126"/>
      <c r="E21" s="126"/>
      <c r="F21" s="126"/>
      <c r="G21" s="12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26"/>
      <c r="Y21" s="126"/>
      <c r="Z21" s="126"/>
      <c r="AA21" s="126"/>
      <c r="AB21" s="126"/>
      <c r="AC21" s="126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26.25" customHeight="1">
      <c r="A22" s="60"/>
      <c r="B22" s="60"/>
      <c r="C22" s="60"/>
      <c r="D22" s="60"/>
      <c r="E22" s="60"/>
      <c r="F22" s="60"/>
      <c r="G22" s="6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60"/>
      <c r="Y22" s="60"/>
      <c r="Z22" s="60"/>
      <c r="AA22" s="60"/>
      <c r="AB22" s="60"/>
      <c r="AC22" s="60"/>
      <c r="AD22" s="9"/>
      <c r="AE22" s="9"/>
      <c r="AF22" s="9"/>
      <c r="AG22" s="9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26.25" customHeight="1">
      <c r="A23" s="60"/>
      <c r="B23" s="60"/>
      <c r="C23" s="60"/>
      <c r="D23" s="60"/>
      <c r="E23" s="60"/>
      <c r="F23" s="60"/>
      <c r="G23" s="60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60"/>
      <c r="Y23" s="60"/>
      <c r="Z23" s="60"/>
      <c r="AA23" s="60"/>
      <c r="AB23" s="60"/>
      <c r="AC23" s="60"/>
      <c r="AD23" s="9"/>
      <c r="AE23" s="9"/>
      <c r="AF23" s="9"/>
      <c r="AG23" s="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5" spans="1:49" ht="15" thickBot="1">
      <c r="L25" s="11" t="s">
        <v>16</v>
      </c>
    </row>
    <row r="26" spans="1:49" ht="27" customHeight="1">
      <c r="E26" s="127"/>
      <c r="F26" s="127"/>
      <c r="G26" s="127"/>
      <c r="H26" s="127"/>
      <c r="I26" s="127"/>
      <c r="J26" s="127"/>
      <c r="K26" s="127"/>
      <c r="L26" s="114"/>
      <c r="M26" s="115"/>
      <c r="N26" s="115"/>
      <c r="O26" s="115"/>
      <c r="P26" s="116"/>
      <c r="Q26" s="115"/>
      <c r="R26" s="115"/>
      <c r="S26" s="115"/>
      <c r="T26" s="115"/>
      <c r="U26" s="116"/>
      <c r="V26" s="114"/>
      <c r="W26" s="115"/>
      <c r="X26" s="115"/>
      <c r="Y26" s="115"/>
      <c r="Z26" s="116"/>
      <c r="AA26" s="114"/>
      <c r="AB26" s="115"/>
      <c r="AC26" s="115"/>
      <c r="AD26" s="115"/>
      <c r="AE26" s="116"/>
      <c r="AF26" s="114"/>
      <c r="AG26" s="115"/>
      <c r="AH26" s="115"/>
      <c r="AI26" s="115"/>
      <c r="AJ26" s="116"/>
    </row>
    <row r="27" spans="1:49" ht="78" customHeight="1" thickBot="1">
      <c r="E27" s="12"/>
      <c r="F27" s="12"/>
      <c r="G27" s="12"/>
      <c r="H27" s="13"/>
      <c r="I27" s="12"/>
      <c r="J27" s="12"/>
      <c r="K27" s="12"/>
      <c r="L27" s="111" t="s">
        <v>17</v>
      </c>
      <c r="M27" s="112"/>
      <c r="N27" s="112"/>
      <c r="O27" s="112"/>
      <c r="P27" s="113"/>
      <c r="Q27" s="111" t="s">
        <v>17</v>
      </c>
      <c r="R27" s="112"/>
      <c r="S27" s="112"/>
      <c r="T27" s="112"/>
      <c r="U27" s="113"/>
      <c r="V27" s="111" t="s">
        <v>17</v>
      </c>
      <c r="W27" s="112"/>
      <c r="X27" s="112"/>
      <c r="Y27" s="112"/>
      <c r="Z27" s="113"/>
      <c r="AA27" s="111" t="s">
        <v>17</v>
      </c>
      <c r="AB27" s="112"/>
      <c r="AC27" s="112"/>
      <c r="AD27" s="112"/>
      <c r="AE27" s="113"/>
      <c r="AF27" s="111" t="s">
        <v>17</v>
      </c>
      <c r="AG27" s="112"/>
      <c r="AH27" s="112"/>
      <c r="AI27" s="112"/>
      <c r="AJ27" s="113"/>
    </row>
  </sheetData>
  <mergeCells count="42">
    <mergeCell ref="A15:G15"/>
    <mergeCell ref="H15:W15"/>
    <mergeCell ref="X15:AC15"/>
    <mergeCell ref="AD15:AW15"/>
    <mergeCell ref="A4:AW11"/>
    <mergeCell ref="A14:G14"/>
    <mergeCell ref="H14:W14"/>
    <mergeCell ref="X14:AC14"/>
    <mergeCell ref="AD14:AW14"/>
    <mergeCell ref="A16:G16"/>
    <mergeCell ref="H16:W16"/>
    <mergeCell ref="X16:AC16"/>
    <mergeCell ref="AD16:AW16"/>
    <mergeCell ref="A17:G17"/>
    <mergeCell ref="H17:W17"/>
    <mergeCell ref="X17:AC17"/>
    <mergeCell ref="AD17:AW17"/>
    <mergeCell ref="A18:G18"/>
    <mergeCell ref="H18:W18"/>
    <mergeCell ref="X18:AC18"/>
    <mergeCell ref="AD18:AW18"/>
    <mergeCell ref="A19:G19"/>
    <mergeCell ref="H19:W19"/>
    <mergeCell ref="X19:AC19"/>
    <mergeCell ref="AD19:AW19"/>
    <mergeCell ref="AF26:AJ26"/>
    <mergeCell ref="A20:G20"/>
    <mergeCell ref="H20:W20"/>
    <mergeCell ref="X20:AC20"/>
    <mergeCell ref="AD20:AW20"/>
    <mergeCell ref="A21:G21"/>
    <mergeCell ref="X21:AC21"/>
    <mergeCell ref="E26:K26"/>
    <mergeCell ref="L26:P26"/>
    <mergeCell ref="Q26:U26"/>
    <mergeCell ref="V26:Z26"/>
    <mergeCell ref="AA26:AE26"/>
    <mergeCell ref="L27:P27"/>
    <mergeCell ref="Q27:U27"/>
    <mergeCell ref="V27:Z27"/>
    <mergeCell ref="AA27:AE27"/>
    <mergeCell ref="AF27:AJ27"/>
  </mergeCells>
  <phoneticPr fontId="3"/>
  <printOptions horizontalCentered="1" verticalCentered="1"/>
  <pageMargins left="0.27559055118110237" right="0.27559055118110237" top="0.59055118110236227" bottom="0.39370078740157483" header="0.39370078740157483" footer="0.19685039370078741"/>
  <pageSetup paperSize="9" scale="92" fitToHeight="0" orientation="landscape" r:id="rId1"/>
  <headerFooter alignWithMargins="0"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X21"/>
  <sheetViews>
    <sheetView zoomScaleNormal="100" workbookViewId="0"/>
  </sheetViews>
  <sheetFormatPr defaultColWidth="5" defaultRowHeight="15" customHeight="1"/>
  <cols>
    <col min="1" max="1" width="5" style="15" customWidth="1"/>
    <col min="2" max="2" width="10.25" style="58" customWidth="1"/>
    <col min="3" max="3" width="33.75" style="15" customWidth="1"/>
    <col min="4" max="4" width="58.25" style="15" customWidth="1"/>
    <col min="5" max="5" width="21.25" style="15" customWidth="1"/>
    <col min="6" max="8" width="11.75" style="15" customWidth="1"/>
    <col min="9" max="16384" width="5" style="15"/>
  </cols>
  <sheetData>
    <row r="1" spans="1:154" ht="30" customHeight="1">
      <c r="A1" s="49" t="s">
        <v>18</v>
      </c>
      <c r="B1" s="49" t="s">
        <v>19</v>
      </c>
      <c r="C1" s="49" t="s">
        <v>20</v>
      </c>
      <c r="D1" s="49" t="s">
        <v>21</v>
      </c>
      <c r="E1" s="40" t="s">
        <v>22</v>
      </c>
      <c r="F1" s="40" t="s">
        <v>23</v>
      </c>
      <c r="G1" s="40" t="s">
        <v>24</v>
      </c>
      <c r="H1" s="40" t="s">
        <v>25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</row>
    <row r="2" spans="1:154" ht="15" customHeight="1">
      <c r="A2" s="156">
        <f>ROW()-1</f>
        <v>1</v>
      </c>
      <c r="B2" s="158"/>
      <c r="C2" s="160"/>
      <c r="D2" s="160"/>
      <c r="E2" s="158"/>
      <c r="F2" s="61"/>
      <c r="G2" s="61"/>
      <c r="H2" s="61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</row>
    <row r="3" spans="1:154" ht="15" customHeight="1">
      <c r="A3" s="157"/>
      <c r="B3" s="159"/>
      <c r="C3" s="161"/>
      <c r="D3" s="161"/>
      <c r="E3" s="159"/>
      <c r="F3" s="62"/>
      <c r="G3" s="62"/>
      <c r="H3" s="62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" customHeight="1">
      <c r="A4" s="156">
        <v>2</v>
      </c>
      <c r="B4" s="158"/>
      <c r="C4" s="160"/>
      <c r="D4" s="160"/>
      <c r="E4" s="158"/>
      <c r="F4" s="61"/>
      <c r="G4" s="61"/>
      <c r="H4" s="61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" customHeight="1">
      <c r="A5" s="157"/>
      <c r="B5" s="159"/>
      <c r="C5" s="161"/>
      <c r="D5" s="161"/>
      <c r="E5" s="159"/>
      <c r="F5" s="62"/>
      <c r="G5" s="62"/>
      <c r="H5" s="62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" customHeight="1">
      <c r="A6" s="156">
        <v>3</v>
      </c>
      <c r="B6" s="158"/>
      <c r="C6" s="160"/>
      <c r="D6" s="160"/>
      <c r="E6" s="158"/>
      <c r="F6" s="61"/>
      <c r="G6" s="61"/>
      <c r="H6" s="61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" customHeight="1">
      <c r="A7" s="157"/>
      <c r="B7" s="159"/>
      <c r="C7" s="161"/>
      <c r="D7" s="161"/>
      <c r="E7" s="159"/>
      <c r="F7" s="62"/>
      <c r="G7" s="62"/>
      <c r="H7" s="6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" customHeight="1">
      <c r="A8" s="156">
        <v>4</v>
      </c>
      <c r="B8" s="158"/>
      <c r="C8" s="160"/>
      <c r="D8" s="160"/>
      <c r="E8" s="158"/>
      <c r="F8" s="61"/>
      <c r="G8" s="61"/>
      <c r="H8" s="61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" customHeight="1">
      <c r="A9" s="157"/>
      <c r="B9" s="159"/>
      <c r="C9" s="161"/>
      <c r="D9" s="161"/>
      <c r="E9" s="159"/>
      <c r="F9" s="62"/>
      <c r="G9" s="62"/>
      <c r="H9" s="62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" customHeight="1">
      <c r="A10" s="156">
        <v>5</v>
      </c>
      <c r="B10" s="158"/>
      <c r="C10" s="160"/>
      <c r="D10" s="160"/>
      <c r="E10" s="158"/>
      <c r="F10" s="61"/>
      <c r="G10" s="61"/>
      <c r="H10" s="61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" customHeight="1">
      <c r="A11" s="157"/>
      <c r="B11" s="159"/>
      <c r="C11" s="161"/>
      <c r="D11" s="161"/>
      <c r="E11" s="159"/>
      <c r="F11" s="62"/>
      <c r="G11" s="62"/>
      <c r="H11" s="62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" customHeight="1">
      <c r="A12" s="156">
        <v>6</v>
      </c>
      <c r="B12" s="158"/>
      <c r="C12" s="160"/>
      <c r="D12" s="160"/>
      <c r="E12" s="158"/>
      <c r="F12" s="61"/>
      <c r="G12" s="61"/>
      <c r="H12" s="61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" customHeight="1">
      <c r="A13" s="157"/>
      <c r="B13" s="159"/>
      <c r="C13" s="161"/>
      <c r="D13" s="161"/>
      <c r="E13" s="159"/>
      <c r="F13" s="62"/>
      <c r="G13" s="62"/>
      <c r="H13" s="62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</row>
    <row r="14" spans="1:154" ht="15" customHeight="1">
      <c r="A14" s="156">
        <v>7</v>
      </c>
      <c r="B14" s="158"/>
      <c r="C14" s="160"/>
      <c r="D14" s="160"/>
      <c r="E14" s="158"/>
      <c r="F14" s="61"/>
      <c r="G14" s="61"/>
      <c r="H14" s="61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</row>
    <row r="15" spans="1:154" ht="15" customHeight="1">
      <c r="A15" s="157"/>
      <c r="B15" s="159"/>
      <c r="C15" s="161"/>
      <c r="D15" s="161"/>
      <c r="E15" s="159"/>
      <c r="F15" s="62"/>
      <c r="G15" s="62"/>
      <c r="H15" s="62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</row>
    <row r="16" spans="1:154" ht="15" customHeight="1">
      <c r="A16" s="156">
        <v>8</v>
      </c>
      <c r="B16" s="158"/>
      <c r="C16" s="160"/>
      <c r="D16" s="160"/>
      <c r="E16" s="158"/>
      <c r="F16" s="61"/>
      <c r="G16" s="61"/>
      <c r="H16" s="61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15" customHeight="1">
      <c r="A17" s="157"/>
      <c r="B17" s="159"/>
      <c r="C17" s="161"/>
      <c r="D17" s="161"/>
      <c r="E17" s="159"/>
      <c r="F17" s="62"/>
      <c r="G17" s="62"/>
      <c r="H17" s="62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</row>
    <row r="18" spans="1:154" ht="15" customHeight="1">
      <c r="A18" s="156">
        <v>9</v>
      </c>
      <c r="B18" s="158"/>
      <c r="C18" s="160"/>
      <c r="D18" s="160"/>
      <c r="E18" s="158"/>
      <c r="F18" s="61"/>
      <c r="G18" s="61"/>
      <c r="H18" s="61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</row>
    <row r="19" spans="1:154" ht="15" customHeight="1">
      <c r="A19" s="157"/>
      <c r="B19" s="159"/>
      <c r="C19" s="161"/>
      <c r="D19" s="161"/>
      <c r="E19" s="159"/>
      <c r="F19" s="62"/>
      <c r="G19" s="62"/>
      <c r="H19" s="6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</row>
    <row r="20" spans="1:154" ht="15" customHeight="1">
      <c r="A20" s="156">
        <v>10</v>
      </c>
      <c r="B20" s="158"/>
      <c r="C20" s="160"/>
      <c r="D20" s="160"/>
      <c r="E20" s="158"/>
      <c r="F20" s="61"/>
      <c r="G20" s="61"/>
      <c r="H20" s="61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</row>
    <row r="21" spans="1:154" ht="15" customHeight="1">
      <c r="A21" s="157"/>
      <c r="B21" s="159"/>
      <c r="C21" s="161"/>
      <c r="D21" s="161"/>
      <c r="E21" s="159"/>
      <c r="F21" s="62"/>
      <c r="G21" s="62"/>
      <c r="H21" s="62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</row>
  </sheetData>
  <mergeCells count="50">
    <mergeCell ref="A2:A3"/>
    <mergeCell ref="B2:B3"/>
    <mergeCell ref="C2:C3"/>
    <mergeCell ref="D2:D3"/>
    <mergeCell ref="E2:E3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A4:A5"/>
    <mergeCell ref="B4:B5"/>
    <mergeCell ref="C4:C5"/>
    <mergeCell ref="D4:D5"/>
    <mergeCell ref="E4:E5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87" fitToHeight="0" orientation="landscape" r:id="rId1"/>
  <headerFooter alignWithMargins="0">
    <oddHeader>&amp;L&amp;"ＭＳ ゴシック,太字"&amp;14&amp;A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343-8783-4E93-A198-4CC41DE80A27}">
  <sheetPr>
    <pageSetUpPr fitToPage="1"/>
  </sheetPr>
  <dimension ref="A1:J2"/>
  <sheetViews>
    <sheetView tabSelected="1" zoomScaleNormal="100" workbookViewId="0"/>
  </sheetViews>
  <sheetFormatPr defaultColWidth="2.5" defaultRowHeight="15" customHeight="1"/>
  <cols>
    <col min="1" max="1" width="1.625" style="1" customWidth="1"/>
    <col min="2" max="2" width="4.625" style="7" customWidth="1"/>
    <col min="3" max="4" width="25.625" style="6" customWidth="1"/>
    <col min="5" max="5" width="50.625" style="5" customWidth="1"/>
    <col min="6" max="6" width="60.625" style="5" customWidth="1"/>
    <col min="7" max="8" width="20.625" style="3" customWidth="1"/>
    <col min="9" max="9" width="15.25" style="1" customWidth="1"/>
    <col min="10" max="10" width="19.375" style="1" bestFit="1" customWidth="1"/>
    <col min="11" max="16384" width="2.5" style="1"/>
  </cols>
  <sheetData>
    <row r="1" spans="1:10" ht="17.100000000000001" customHeight="1">
      <c r="A1" s="2"/>
      <c r="B1" s="63" t="s">
        <v>18</v>
      </c>
      <c r="C1" s="63" t="s">
        <v>26</v>
      </c>
      <c r="D1" s="63" t="s">
        <v>72</v>
      </c>
      <c r="E1" s="63" t="s">
        <v>127</v>
      </c>
      <c r="F1" s="63" t="s">
        <v>27</v>
      </c>
      <c r="G1" s="48" t="s">
        <v>28</v>
      </c>
      <c r="H1" s="48" t="s">
        <v>29</v>
      </c>
      <c r="I1" s="1" t="s">
        <v>128</v>
      </c>
      <c r="J1" s="3" t="s">
        <v>129</v>
      </c>
    </row>
    <row r="2" spans="1:10" ht="88.15" customHeight="1">
      <c r="A2" s="2"/>
      <c r="B2" s="16">
        <v>1</v>
      </c>
      <c r="C2" s="4" t="s">
        <v>1040</v>
      </c>
      <c r="D2" s="4" t="s">
        <v>125</v>
      </c>
      <c r="E2" s="4" t="s">
        <v>126</v>
      </c>
      <c r="F2" s="4" t="s">
        <v>73</v>
      </c>
      <c r="G2" s="4"/>
      <c r="H2" s="4"/>
      <c r="I2" s="1" cm="1">
        <f t="array" aca="1" ref="I2" ca="1">INDIRECT("'テスト仕様(No." &amp; B2 &amp; ")'!$E$1")</f>
        <v>9</v>
      </c>
      <c r="J2" s="1">
        <f ca="1">SUM(I2:I2)</f>
        <v>9</v>
      </c>
    </row>
  </sheetData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8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1D2C-2DF4-4D09-A674-0D45AA4AE09E}">
  <sheetPr>
    <pageSetUpPr fitToPage="1"/>
  </sheetPr>
  <dimension ref="A1:AF72"/>
  <sheetViews>
    <sheetView zoomScaleNormal="100" workbookViewId="0"/>
  </sheetViews>
  <sheetFormatPr defaultColWidth="2.5" defaultRowHeight="15" customHeight="1"/>
  <cols>
    <col min="1" max="1" width="1.625" style="1" customWidth="1"/>
    <col min="2" max="2" width="14.875" style="18" customWidth="1"/>
    <col min="3" max="3" width="5.375" style="19" customWidth="1"/>
    <col min="4" max="4" width="45.625" style="20" customWidth="1"/>
    <col min="5" max="25" width="5.625" style="39" customWidth="1"/>
    <col min="26" max="26" width="2.5" style="1"/>
    <col min="27" max="27" width="2.5" style="84"/>
    <col min="28" max="16384" width="2.5" style="1"/>
  </cols>
  <sheetData>
    <row r="1" spans="1:32" ht="26.25" customHeight="1">
      <c r="B1" s="55" t="s">
        <v>30</v>
      </c>
      <c r="C1" s="56">
        <v>1</v>
      </c>
      <c r="D1" s="57" t="s">
        <v>31</v>
      </c>
      <c r="E1" s="25">
        <f>COUNTA(F1:CY1)</f>
        <v>9</v>
      </c>
      <c r="F1" s="25">
        <f>COLUMN()-5</f>
        <v>1</v>
      </c>
      <c r="G1" s="25">
        <f t="shared" ref="G1:N1" si="0">COLUMN()-5</f>
        <v>2</v>
      </c>
      <c r="H1" s="25">
        <f t="shared" si="0"/>
        <v>3</v>
      </c>
      <c r="I1" s="25">
        <f t="shared" si="0"/>
        <v>4</v>
      </c>
      <c r="J1" s="25">
        <f t="shared" si="0"/>
        <v>5</v>
      </c>
      <c r="K1" s="25">
        <f t="shared" si="0"/>
        <v>6</v>
      </c>
      <c r="L1" s="25">
        <f t="shared" si="0"/>
        <v>7</v>
      </c>
      <c r="M1" s="25">
        <f t="shared" si="0"/>
        <v>8</v>
      </c>
      <c r="N1" s="25">
        <f t="shared" si="0"/>
        <v>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32" ht="20.100000000000001" customHeight="1">
      <c r="A2" s="2"/>
      <c r="B2" s="53"/>
      <c r="C2" s="21" t="s">
        <v>32</v>
      </c>
      <c r="D2" s="51" t="s">
        <v>33</v>
      </c>
      <c r="E2" s="52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23"/>
    </row>
    <row r="3" spans="1:32" ht="19.899999999999999" customHeight="1">
      <c r="A3" s="2"/>
      <c r="B3" s="41" t="s">
        <v>34</v>
      </c>
      <c r="C3" s="26">
        <v>1</v>
      </c>
      <c r="D3" s="66" t="s">
        <v>130</v>
      </c>
      <c r="E3" s="67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32" ht="20.100000000000001" customHeight="1">
      <c r="A4" s="2"/>
      <c r="B4" s="41"/>
      <c r="C4" s="26">
        <f>C3+1</f>
        <v>2</v>
      </c>
      <c r="D4" s="69" t="s">
        <v>327</v>
      </c>
      <c r="E4" s="70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32" ht="20.100000000000001" customHeight="1">
      <c r="A5" s="2"/>
      <c r="B5" s="41"/>
      <c r="C5" s="26">
        <f>C4+1</f>
        <v>3</v>
      </c>
      <c r="D5" s="27" t="s">
        <v>332</v>
      </c>
      <c r="E5" s="24"/>
      <c r="F5" s="28"/>
      <c r="G5" s="28" t="s">
        <v>70</v>
      </c>
      <c r="H5" s="28" t="s">
        <v>70</v>
      </c>
      <c r="I5" s="28" t="s">
        <v>70</v>
      </c>
      <c r="J5" s="28" t="s">
        <v>70</v>
      </c>
      <c r="K5" s="28" t="s">
        <v>70</v>
      </c>
      <c r="L5" s="28" t="s">
        <v>70</v>
      </c>
      <c r="M5" s="28"/>
      <c r="N5" s="73" t="s">
        <v>70</v>
      </c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32" ht="20.100000000000001" customHeight="1">
      <c r="A6" s="2"/>
      <c r="B6" s="41"/>
      <c r="C6" s="26">
        <f>C5+1</f>
        <v>4</v>
      </c>
      <c r="D6" s="85" t="s">
        <v>333</v>
      </c>
      <c r="E6" s="24"/>
      <c r="F6" s="73" t="s">
        <v>70</v>
      </c>
      <c r="G6" s="28"/>
      <c r="H6" s="28"/>
      <c r="I6" s="28"/>
      <c r="J6" s="28"/>
      <c r="K6" s="28"/>
      <c r="L6" s="28"/>
      <c r="M6" s="73" t="s">
        <v>70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AF6" s="84"/>
    </row>
    <row r="7" spans="1:32" ht="20.100000000000001" customHeight="1">
      <c r="A7" s="2"/>
      <c r="B7" s="41"/>
      <c r="C7" s="26">
        <f>C6+1</f>
        <v>5</v>
      </c>
      <c r="D7" s="27"/>
      <c r="E7" s="24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32" ht="20.100000000000001" customHeight="1">
      <c r="A8" s="2"/>
      <c r="B8" s="41"/>
      <c r="C8" s="26">
        <f t="shared" ref="C8:C31" si="1">C7+1</f>
        <v>6</v>
      </c>
      <c r="D8" s="69" t="s">
        <v>328</v>
      </c>
      <c r="E8" s="70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spans="1:32" ht="20.100000000000001" customHeight="1">
      <c r="A9" s="2"/>
      <c r="B9" s="41"/>
      <c r="C9" s="26">
        <f t="shared" si="1"/>
        <v>7</v>
      </c>
      <c r="D9" s="27" t="s">
        <v>76</v>
      </c>
      <c r="E9" s="24"/>
      <c r="F9" s="28" t="s">
        <v>70</v>
      </c>
      <c r="G9" s="28"/>
      <c r="H9" s="28" t="s">
        <v>70</v>
      </c>
      <c r="I9" s="28" t="s">
        <v>70</v>
      </c>
      <c r="J9" s="28" t="s">
        <v>70</v>
      </c>
      <c r="K9" s="28" t="s">
        <v>70</v>
      </c>
      <c r="L9" s="28" t="s">
        <v>70</v>
      </c>
      <c r="M9" s="28"/>
      <c r="N9" s="73" t="s">
        <v>70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32" ht="20.100000000000001" customHeight="1">
      <c r="A10" s="2"/>
      <c r="B10" s="41"/>
      <c r="C10" s="26">
        <f t="shared" si="1"/>
        <v>8</v>
      </c>
      <c r="D10" s="85" t="s">
        <v>132</v>
      </c>
      <c r="E10" s="24"/>
      <c r="F10" s="28"/>
      <c r="G10" s="73" t="s">
        <v>70</v>
      </c>
      <c r="H10" s="28"/>
      <c r="I10" s="28"/>
      <c r="J10" s="28"/>
      <c r="K10" s="28"/>
      <c r="L10" s="28"/>
      <c r="M10" s="73" t="s">
        <v>70</v>
      </c>
      <c r="N10" s="73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AF10" s="84"/>
    </row>
    <row r="11" spans="1:32" ht="20.100000000000001" customHeight="1">
      <c r="A11" s="2"/>
      <c r="B11" s="41"/>
      <c r="C11" s="26">
        <f t="shared" si="1"/>
        <v>9</v>
      </c>
      <c r="D11" s="27"/>
      <c r="E11" s="24"/>
      <c r="F11" s="28"/>
      <c r="G11" s="28"/>
      <c r="H11" s="28"/>
      <c r="I11" s="28"/>
      <c r="J11" s="28"/>
      <c r="K11" s="28"/>
      <c r="L11" s="28"/>
      <c r="M11" s="28"/>
      <c r="N11" s="73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32" ht="20.100000000000001" customHeight="1">
      <c r="A12" s="2"/>
      <c r="B12" s="41"/>
      <c r="C12" s="26">
        <f t="shared" si="1"/>
        <v>10</v>
      </c>
      <c r="D12" s="69" t="s">
        <v>329</v>
      </c>
      <c r="E12" s="70"/>
      <c r="F12" s="71"/>
      <c r="G12" s="71"/>
      <c r="H12" s="71"/>
      <c r="I12" s="71"/>
      <c r="J12" s="71"/>
      <c r="K12" s="71"/>
      <c r="L12" s="71"/>
      <c r="M12" s="71"/>
      <c r="N12" s="9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</row>
    <row r="13" spans="1:32" ht="20.100000000000001" customHeight="1">
      <c r="A13" s="2"/>
      <c r="B13" s="41"/>
      <c r="C13" s="26">
        <f t="shared" si="1"/>
        <v>11</v>
      </c>
      <c r="D13" s="27" t="s">
        <v>76</v>
      </c>
      <c r="E13" s="24"/>
      <c r="F13" s="28" t="s">
        <v>70</v>
      </c>
      <c r="G13" s="28" t="s">
        <v>70</v>
      </c>
      <c r="H13" s="28"/>
      <c r="I13" s="28" t="s">
        <v>70</v>
      </c>
      <c r="J13" s="28" t="s">
        <v>70</v>
      </c>
      <c r="K13" s="28" t="s">
        <v>70</v>
      </c>
      <c r="L13" s="28" t="s">
        <v>70</v>
      </c>
      <c r="M13" s="28"/>
      <c r="N13" s="73" t="s">
        <v>70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32" ht="20.100000000000001" customHeight="1">
      <c r="A14" s="2"/>
      <c r="B14" s="41"/>
      <c r="C14" s="26">
        <f t="shared" si="1"/>
        <v>12</v>
      </c>
      <c r="D14" s="85" t="s">
        <v>132</v>
      </c>
      <c r="E14" s="24"/>
      <c r="F14" s="28"/>
      <c r="G14" s="28"/>
      <c r="H14" s="73" t="s">
        <v>70</v>
      </c>
      <c r="I14" s="28"/>
      <c r="J14" s="28"/>
      <c r="K14" s="28"/>
      <c r="L14" s="28"/>
      <c r="M14" s="73" t="s">
        <v>70</v>
      </c>
      <c r="N14" s="73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AF14" s="84"/>
    </row>
    <row r="15" spans="1:32" ht="20.100000000000001" customHeight="1">
      <c r="A15" s="2"/>
      <c r="B15" s="41"/>
      <c r="C15" s="26">
        <f t="shared" si="1"/>
        <v>13</v>
      </c>
      <c r="D15" s="27"/>
      <c r="E15" s="24"/>
      <c r="F15" s="28"/>
      <c r="G15" s="28"/>
      <c r="H15" s="28"/>
      <c r="I15" s="28"/>
      <c r="J15" s="28"/>
      <c r="K15" s="28"/>
      <c r="L15" s="28"/>
      <c r="M15" s="28"/>
      <c r="N15" s="73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32" ht="20.100000000000001" customHeight="1">
      <c r="A16" s="2"/>
      <c r="B16" s="41"/>
      <c r="C16" s="26">
        <f t="shared" si="1"/>
        <v>14</v>
      </c>
      <c r="D16" s="69" t="s">
        <v>330</v>
      </c>
      <c r="E16" s="70"/>
      <c r="F16" s="71"/>
      <c r="G16" s="71"/>
      <c r="H16" s="71"/>
      <c r="I16" s="71"/>
      <c r="J16" s="71"/>
      <c r="K16" s="71"/>
      <c r="L16" s="71"/>
      <c r="M16" s="71"/>
      <c r="N16" s="9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</row>
    <row r="17" spans="1:32" ht="20.100000000000001" customHeight="1">
      <c r="A17" s="2"/>
      <c r="B17" s="41"/>
      <c r="C17" s="26">
        <f t="shared" si="1"/>
        <v>15</v>
      </c>
      <c r="D17" s="27" t="s">
        <v>76</v>
      </c>
      <c r="E17" s="24"/>
      <c r="F17" s="28" t="s">
        <v>70</v>
      </c>
      <c r="G17" s="28" t="s">
        <v>70</v>
      </c>
      <c r="H17" s="28" t="s">
        <v>70</v>
      </c>
      <c r="I17" s="28"/>
      <c r="J17" s="28" t="s">
        <v>70</v>
      </c>
      <c r="K17" s="28" t="s">
        <v>70</v>
      </c>
      <c r="L17" s="28" t="s">
        <v>70</v>
      </c>
      <c r="M17" s="28"/>
      <c r="N17" s="73" t="s">
        <v>70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32" ht="20.100000000000001" customHeight="1">
      <c r="A18" s="2"/>
      <c r="B18" s="41"/>
      <c r="C18" s="26">
        <f t="shared" si="1"/>
        <v>16</v>
      </c>
      <c r="D18" s="85" t="s">
        <v>132</v>
      </c>
      <c r="E18" s="24"/>
      <c r="F18" s="28"/>
      <c r="G18" s="28"/>
      <c r="H18" s="28"/>
      <c r="I18" s="73" t="s">
        <v>70</v>
      </c>
      <c r="J18" s="28"/>
      <c r="K18" s="28"/>
      <c r="L18" s="28"/>
      <c r="M18" s="73" t="s">
        <v>70</v>
      </c>
      <c r="N18" s="73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AF18" s="84"/>
    </row>
    <row r="19" spans="1:32" ht="20.100000000000001" customHeight="1">
      <c r="A19" s="2"/>
      <c r="B19" s="41"/>
      <c r="C19" s="26">
        <f t="shared" si="1"/>
        <v>17</v>
      </c>
      <c r="D19" s="27"/>
      <c r="E19" s="24"/>
      <c r="F19" s="28"/>
      <c r="G19" s="28"/>
      <c r="H19" s="28"/>
      <c r="I19" s="28"/>
      <c r="J19" s="28"/>
      <c r="K19" s="28"/>
      <c r="L19" s="28"/>
      <c r="M19" s="28"/>
      <c r="N19" s="73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32" ht="19.899999999999999" customHeight="1">
      <c r="A20" s="2"/>
      <c r="B20" s="41"/>
      <c r="C20" s="26">
        <f t="shared" si="1"/>
        <v>18</v>
      </c>
      <c r="D20" s="69" t="s">
        <v>331</v>
      </c>
      <c r="E20" s="70"/>
      <c r="F20" s="71"/>
      <c r="G20" s="71"/>
      <c r="H20" s="71"/>
      <c r="I20" s="71"/>
      <c r="J20" s="71"/>
      <c r="K20" s="71"/>
      <c r="L20" s="71"/>
      <c r="M20" s="71"/>
      <c r="N20" s="9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</row>
    <row r="21" spans="1:32" ht="20.100000000000001" customHeight="1">
      <c r="A21" s="2"/>
      <c r="B21" s="41"/>
      <c r="C21" s="26">
        <f t="shared" si="1"/>
        <v>19</v>
      </c>
      <c r="D21" s="27" t="s">
        <v>76</v>
      </c>
      <c r="E21" s="24"/>
      <c r="F21" s="28" t="s">
        <v>70</v>
      </c>
      <c r="G21" s="28" t="s">
        <v>70</v>
      </c>
      <c r="H21" s="28" t="s">
        <v>70</v>
      </c>
      <c r="I21" s="28" t="s">
        <v>70</v>
      </c>
      <c r="J21" s="28"/>
      <c r="K21" s="28" t="s">
        <v>70</v>
      </c>
      <c r="L21" s="28" t="s">
        <v>70</v>
      </c>
      <c r="M21" s="28"/>
      <c r="N21" s="73" t="s">
        <v>70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32" ht="19.899999999999999" customHeight="1">
      <c r="A22" s="2"/>
      <c r="B22" s="41"/>
      <c r="C22" s="26">
        <f t="shared" si="1"/>
        <v>20</v>
      </c>
      <c r="D22" s="85" t="s">
        <v>132</v>
      </c>
      <c r="E22" s="24"/>
      <c r="F22" s="28"/>
      <c r="G22" s="28"/>
      <c r="H22" s="28"/>
      <c r="I22" s="28"/>
      <c r="J22" s="73" t="s">
        <v>70</v>
      </c>
      <c r="K22" s="28"/>
      <c r="L22" s="28"/>
      <c r="M22" s="73" t="s">
        <v>70</v>
      </c>
      <c r="N22" s="73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AF22" s="84"/>
    </row>
    <row r="23" spans="1:32" ht="20.100000000000001" customHeight="1">
      <c r="A23" s="2"/>
      <c r="B23" s="41"/>
      <c r="C23" s="26">
        <f t="shared" si="1"/>
        <v>21</v>
      </c>
      <c r="D23" s="27"/>
      <c r="E23" s="24"/>
      <c r="F23" s="28"/>
      <c r="G23" s="28"/>
      <c r="H23" s="28"/>
      <c r="I23" s="28"/>
      <c r="J23" s="28"/>
      <c r="K23" s="28"/>
      <c r="L23" s="28"/>
      <c r="M23" s="28"/>
      <c r="N23" s="73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32" ht="19.899999999999999" customHeight="1">
      <c r="A24" s="2"/>
      <c r="B24" s="41"/>
      <c r="C24" s="26">
        <f t="shared" si="1"/>
        <v>22</v>
      </c>
      <c r="D24" s="69" t="s">
        <v>403</v>
      </c>
      <c r="E24" s="70"/>
      <c r="F24" s="71"/>
      <c r="G24" s="71"/>
      <c r="H24" s="71"/>
      <c r="I24" s="71"/>
      <c r="J24" s="71"/>
      <c r="K24" s="71"/>
      <c r="L24" s="71"/>
      <c r="M24" s="71"/>
      <c r="N24" s="9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</row>
    <row r="25" spans="1:32" ht="20.100000000000001" customHeight="1">
      <c r="A25" s="2"/>
      <c r="B25" s="41"/>
      <c r="C25" s="26">
        <f t="shared" si="1"/>
        <v>23</v>
      </c>
      <c r="D25" s="27" t="s">
        <v>76</v>
      </c>
      <c r="E25" s="24"/>
      <c r="F25" s="28" t="s">
        <v>70</v>
      </c>
      <c r="G25" s="28" t="s">
        <v>70</v>
      </c>
      <c r="H25" s="28" t="s">
        <v>70</v>
      </c>
      <c r="I25" s="28" t="s">
        <v>70</v>
      </c>
      <c r="J25" s="28" t="s">
        <v>70</v>
      </c>
      <c r="K25" s="28"/>
      <c r="L25" s="28" t="s">
        <v>70</v>
      </c>
      <c r="M25" s="28"/>
      <c r="N25" s="73" t="s">
        <v>70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32" ht="19.899999999999999" customHeight="1">
      <c r="A26" s="2"/>
      <c r="B26" s="41"/>
      <c r="C26" s="26">
        <f t="shared" si="1"/>
        <v>24</v>
      </c>
      <c r="D26" s="85" t="s">
        <v>132</v>
      </c>
      <c r="E26" s="24"/>
      <c r="F26" s="28"/>
      <c r="G26" s="28"/>
      <c r="H26" s="28"/>
      <c r="I26" s="28"/>
      <c r="J26" s="73"/>
      <c r="K26" s="73" t="s">
        <v>70</v>
      </c>
      <c r="L26" s="73"/>
      <c r="M26" s="73" t="s">
        <v>70</v>
      </c>
      <c r="N26" s="73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AF26" s="84"/>
    </row>
    <row r="27" spans="1:32" ht="20.100000000000001" customHeight="1">
      <c r="A27" s="2"/>
      <c r="B27" s="41"/>
      <c r="C27" s="26">
        <f t="shared" si="1"/>
        <v>25</v>
      </c>
      <c r="D27" s="27"/>
      <c r="E27" s="24"/>
      <c r="F27" s="28"/>
      <c r="G27" s="28"/>
      <c r="H27" s="28"/>
      <c r="I27" s="28"/>
      <c r="J27" s="28"/>
      <c r="K27" s="28"/>
      <c r="L27" s="28"/>
      <c r="M27" s="28"/>
      <c r="N27" s="73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32" ht="20.100000000000001" customHeight="1">
      <c r="A28" s="2"/>
      <c r="B28" s="41"/>
      <c r="C28" s="26">
        <f t="shared" si="1"/>
        <v>26</v>
      </c>
      <c r="D28" s="69" t="s">
        <v>400</v>
      </c>
      <c r="E28" s="70"/>
      <c r="F28" s="71"/>
      <c r="G28" s="71"/>
      <c r="H28" s="71"/>
      <c r="I28" s="71"/>
      <c r="J28" s="71"/>
      <c r="K28" s="71"/>
      <c r="L28" s="71"/>
      <c r="M28" s="71"/>
      <c r="N28" s="9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</row>
    <row r="29" spans="1:32" ht="20.100000000000001" customHeight="1">
      <c r="A29" s="2"/>
      <c r="B29" s="41"/>
      <c r="C29" s="26">
        <f t="shared" si="1"/>
        <v>27</v>
      </c>
      <c r="D29" s="27" t="s">
        <v>76</v>
      </c>
      <c r="E29" s="24"/>
      <c r="F29" s="28" t="s">
        <v>70</v>
      </c>
      <c r="G29" s="28" t="s">
        <v>70</v>
      </c>
      <c r="H29" s="28" t="s">
        <v>70</v>
      </c>
      <c r="I29" s="28" t="s">
        <v>70</v>
      </c>
      <c r="J29" s="28" t="s">
        <v>70</v>
      </c>
      <c r="K29" s="28" t="s">
        <v>70</v>
      </c>
      <c r="L29" s="28"/>
      <c r="M29" s="28"/>
      <c r="N29" s="73" t="s">
        <v>70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32" ht="18" customHeight="1">
      <c r="A30" s="2"/>
      <c r="B30" s="41"/>
      <c r="C30" s="26">
        <f t="shared" si="1"/>
        <v>28</v>
      </c>
      <c r="D30" s="85" t="s">
        <v>132</v>
      </c>
      <c r="E30" s="24"/>
      <c r="F30" s="28"/>
      <c r="G30" s="28"/>
      <c r="H30" s="28"/>
      <c r="I30" s="28"/>
      <c r="J30" s="28"/>
      <c r="K30" s="73"/>
      <c r="L30" s="73" t="s">
        <v>70</v>
      </c>
      <c r="M30" s="73" t="s">
        <v>70</v>
      </c>
      <c r="N30" s="73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AF30" s="84"/>
    </row>
    <row r="31" spans="1:32" ht="20.100000000000001" customHeight="1">
      <c r="A31" s="2"/>
      <c r="B31" s="41"/>
      <c r="C31" s="26">
        <f t="shared" si="1"/>
        <v>29</v>
      </c>
      <c r="D31" s="27"/>
      <c r="E31" s="24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32" ht="9.9499999999999993" customHeight="1">
      <c r="A32" s="2"/>
      <c r="B32" s="42"/>
      <c r="C32" s="45"/>
      <c r="D32" s="22"/>
      <c r="E32" s="22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7"/>
    </row>
    <row r="33" spans="1:25" ht="20.100000000000001" customHeight="1">
      <c r="A33" s="2"/>
      <c r="B33" s="53"/>
      <c r="C33" s="21" t="s">
        <v>32</v>
      </c>
      <c r="D33" s="51" t="s">
        <v>35</v>
      </c>
      <c r="E33" s="52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3"/>
    </row>
    <row r="34" spans="1:25" ht="20.100000000000001" customHeight="1">
      <c r="A34" s="2"/>
      <c r="B34" s="41"/>
      <c r="C34" s="26">
        <v>1</v>
      </c>
      <c r="D34" s="72" t="s">
        <v>131</v>
      </c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30" customHeight="1">
      <c r="A35" s="2"/>
      <c r="B35" s="41"/>
      <c r="C35" s="26">
        <f>C34+1</f>
        <v>2</v>
      </c>
      <c r="D35" s="76" t="s">
        <v>396</v>
      </c>
      <c r="E35" s="24"/>
      <c r="F35" s="28" t="s">
        <v>343</v>
      </c>
      <c r="G35" s="28"/>
      <c r="H35" s="28"/>
      <c r="I35" s="28"/>
      <c r="J35" s="28"/>
      <c r="K35" s="28"/>
      <c r="L35" s="28"/>
      <c r="M35" s="28" t="s">
        <v>71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30" customHeight="1">
      <c r="A36" s="2"/>
      <c r="B36" s="41"/>
      <c r="C36" s="26">
        <f t="shared" ref="C36:C51" si="2">C35+1</f>
        <v>3</v>
      </c>
      <c r="D36" s="76" t="s">
        <v>398</v>
      </c>
      <c r="E36" s="24"/>
      <c r="F36" s="28"/>
      <c r="G36" s="28" t="s">
        <v>71</v>
      </c>
      <c r="H36" s="28"/>
      <c r="I36" s="28"/>
      <c r="J36" s="28"/>
      <c r="K36" s="28"/>
      <c r="L36" s="28"/>
      <c r="M36" s="28" t="s">
        <v>71</v>
      </c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30" customHeight="1">
      <c r="A37" s="2"/>
      <c r="B37" s="41"/>
      <c r="C37" s="26">
        <f t="shared" si="2"/>
        <v>4</v>
      </c>
      <c r="D37" s="76" t="s">
        <v>399</v>
      </c>
      <c r="E37" s="24"/>
      <c r="F37" s="28"/>
      <c r="G37" s="28"/>
      <c r="H37" s="28" t="s">
        <v>71</v>
      </c>
      <c r="I37" s="28"/>
      <c r="J37" s="28"/>
      <c r="K37" s="28"/>
      <c r="L37" s="28"/>
      <c r="M37" s="28" t="s">
        <v>71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30" customHeight="1">
      <c r="A38" s="2"/>
      <c r="B38" s="41"/>
      <c r="C38" s="26">
        <f t="shared" si="2"/>
        <v>5</v>
      </c>
      <c r="D38" s="76" t="s">
        <v>401</v>
      </c>
      <c r="E38" s="24"/>
      <c r="F38" s="28"/>
      <c r="G38" s="28"/>
      <c r="H38" s="28"/>
      <c r="I38" s="28" t="s">
        <v>71</v>
      </c>
      <c r="J38" s="28"/>
      <c r="K38" s="28"/>
      <c r="L38" s="28"/>
      <c r="M38" s="28" t="s">
        <v>71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30" customHeight="1">
      <c r="A39" s="2"/>
      <c r="B39" s="41"/>
      <c r="C39" s="26">
        <f t="shared" si="2"/>
        <v>6</v>
      </c>
      <c r="D39" s="76" t="s">
        <v>402</v>
      </c>
      <c r="E39" s="24"/>
      <c r="F39" s="28"/>
      <c r="G39" s="28"/>
      <c r="H39" s="28"/>
      <c r="I39" s="28"/>
      <c r="J39" s="28" t="s">
        <v>71</v>
      </c>
      <c r="K39" s="28"/>
      <c r="L39" s="28"/>
      <c r="M39" s="28" t="s">
        <v>71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30" customHeight="1">
      <c r="A40" s="2"/>
      <c r="B40" s="41"/>
      <c r="C40" s="26">
        <f t="shared" si="2"/>
        <v>7</v>
      </c>
      <c r="D40" s="76" t="s">
        <v>404</v>
      </c>
      <c r="E40" s="24"/>
      <c r="F40" s="28"/>
      <c r="G40" s="28"/>
      <c r="H40" s="28"/>
      <c r="I40" s="28"/>
      <c r="J40" s="28"/>
      <c r="K40" s="28" t="s">
        <v>71</v>
      </c>
      <c r="L40" s="28"/>
      <c r="M40" s="28" t="s">
        <v>71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30" customHeight="1">
      <c r="A41" s="2"/>
      <c r="B41" s="41"/>
      <c r="C41" s="26">
        <f t="shared" si="2"/>
        <v>8</v>
      </c>
      <c r="D41" s="76" t="s">
        <v>397</v>
      </c>
      <c r="E41" s="24"/>
      <c r="F41" s="28"/>
      <c r="G41" s="28"/>
      <c r="H41" s="28"/>
      <c r="I41" s="28"/>
      <c r="J41" s="28"/>
      <c r="K41" s="28"/>
      <c r="L41" s="28" t="s">
        <v>71</v>
      </c>
      <c r="M41" s="28" t="s">
        <v>71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30" customHeight="1">
      <c r="A42" s="2"/>
      <c r="B42" s="41"/>
      <c r="C42" s="26">
        <f t="shared" si="2"/>
        <v>9</v>
      </c>
      <c r="D42" s="29" t="s">
        <v>334</v>
      </c>
      <c r="E42" s="24"/>
      <c r="F42" s="28" t="s">
        <v>343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30" customHeight="1">
      <c r="A43" s="2"/>
      <c r="B43" s="41"/>
      <c r="C43" s="26">
        <f t="shared" si="2"/>
        <v>10</v>
      </c>
      <c r="D43" s="29" t="s">
        <v>335</v>
      </c>
      <c r="E43" s="24"/>
      <c r="F43" s="28"/>
      <c r="G43" s="28" t="s">
        <v>71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30" customHeight="1">
      <c r="A44" s="2"/>
      <c r="B44" s="41"/>
      <c r="C44" s="26">
        <f t="shared" si="2"/>
        <v>11</v>
      </c>
      <c r="D44" s="29" t="s">
        <v>336</v>
      </c>
      <c r="E44" s="24"/>
      <c r="F44" s="28"/>
      <c r="G44" s="28"/>
      <c r="H44" s="28" t="s">
        <v>71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30" customHeight="1">
      <c r="A45" s="2"/>
      <c r="B45" s="41"/>
      <c r="C45" s="26">
        <f t="shared" si="2"/>
        <v>12</v>
      </c>
      <c r="D45" s="29" t="s">
        <v>337</v>
      </c>
      <c r="E45" s="24"/>
      <c r="F45" s="28"/>
      <c r="G45" s="28"/>
      <c r="H45" s="28"/>
      <c r="I45" s="28" t="s">
        <v>71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30" customHeight="1">
      <c r="A46" s="2"/>
      <c r="B46" s="41"/>
      <c r="C46" s="26">
        <f t="shared" si="2"/>
        <v>13</v>
      </c>
      <c r="D46" s="29" t="s">
        <v>338</v>
      </c>
      <c r="E46" s="24"/>
      <c r="F46" s="28"/>
      <c r="G46" s="28"/>
      <c r="H46" s="28"/>
      <c r="I46" s="28"/>
      <c r="J46" s="28" t="s">
        <v>71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30" customHeight="1">
      <c r="A47" s="2"/>
      <c r="B47" s="41"/>
      <c r="C47" s="26">
        <f t="shared" si="2"/>
        <v>14</v>
      </c>
      <c r="D47" s="29" t="s">
        <v>339</v>
      </c>
      <c r="E47" s="24"/>
      <c r="F47" s="28"/>
      <c r="G47" s="28"/>
      <c r="H47" s="28"/>
      <c r="I47" s="28"/>
      <c r="J47" s="28"/>
      <c r="K47" s="28" t="s">
        <v>71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30" customHeight="1">
      <c r="A48" s="2"/>
      <c r="B48" s="41"/>
      <c r="C48" s="26">
        <f t="shared" si="2"/>
        <v>15</v>
      </c>
      <c r="D48" s="29" t="s">
        <v>340</v>
      </c>
      <c r="E48" s="24"/>
      <c r="F48" s="28"/>
      <c r="G48" s="28"/>
      <c r="H48" s="28"/>
      <c r="I48" s="28"/>
      <c r="J48" s="28"/>
      <c r="K48" s="28"/>
      <c r="L48" s="28" t="s">
        <v>71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30" customHeight="1">
      <c r="A49" s="2"/>
      <c r="B49" s="41"/>
      <c r="C49" s="26">
        <f t="shared" si="2"/>
        <v>16</v>
      </c>
      <c r="D49" s="29" t="s">
        <v>341</v>
      </c>
      <c r="E49" s="24"/>
      <c r="F49" s="28"/>
      <c r="G49" s="28"/>
      <c r="H49" s="28"/>
      <c r="I49" s="28"/>
      <c r="J49" s="28"/>
      <c r="K49" s="28"/>
      <c r="L49" s="28"/>
      <c r="M49" s="28" t="s">
        <v>71</v>
      </c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30" customHeight="1">
      <c r="A50" s="2"/>
      <c r="B50" s="41"/>
      <c r="C50" s="26">
        <f t="shared" si="2"/>
        <v>17</v>
      </c>
      <c r="D50" s="29" t="s">
        <v>342</v>
      </c>
      <c r="E50" s="24"/>
      <c r="F50" s="28"/>
      <c r="G50" s="28"/>
      <c r="H50" s="28"/>
      <c r="I50" s="28"/>
      <c r="J50" s="28"/>
      <c r="K50" s="28"/>
      <c r="L50" s="28"/>
      <c r="M50" s="28"/>
      <c r="N50" s="28" t="s">
        <v>71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30" customHeight="1">
      <c r="A51" s="2"/>
      <c r="B51" s="41"/>
      <c r="C51" s="26">
        <f t="shared" si="2"/>
        <v>18</v>
      </c>
      <c r="D51" s="29"/>
      <c r="E51" s="24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9.9499999999999993" customHeight="1">
      <c r="A52" s="2"/>
      <c r="B52" s="42"/>
      <c r="C52" s="45"/>
      <c r="D52" s="22"/>
      <c r="E52" s="22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7"/>
    </row>
    <row r="53" spans="1:25" ht="20.100000000000001" customHeight="1">
      <c r="A53" s="2"/>
      <c r="B53" s="53"/>
      <c r="C53" s="21" t="s">
        <v>32</v>
      </c>
      <c r="D53" s="54" t="s">
        <v>36</v>
      </c>
      <c r="E53" s="52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23"/>
    </row>
    <row r="54" spans="1:25" ht="15" customHeight="1">
      <c r="A54" s="2"/>
      <c r="B54" s="43" t="s">
        <v>28</v>
      </c>
      <c r="C54" s="30">
        <v>1</v>
      </c>
      <c r="D54" s="31"/>
      <c r="E54" s="32" t="s">
        <v>37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ht="15" customHeight="1">
      <c r="A55" s="2"/>
      <c r="B55" s="43"/>
      <c r="C55" s="30"/>
      <c r="D55" s="33"/>
      <c r="E55" s="34" t="s">
        <v>38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ht="15" customHeight="1">
      <c r="A56" s="2"/>
      <c r="B56" s="43"/>
      <c r="C56" s="35">
        <f>C54+1</f>
        <v>2</v>
      </c>
      <c r="D56" s="36"/>
      <c r="E56" s="32" t="s">
        <v>37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" customHeight="1">
      <c r="A57" s="2"/>
      <c r="B57" s="43"/>
      <c r="C57" s="37"/>
      <c r="D57" s="38"/>
      <c r="E57" s="34" t="s">
        <v>38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 ht="15" customHeight="1">
      <c r="A58" s="2"/>
      <c r="B58" s="43"/>
      <c r="C58" s="35">
        <f>C56+1</f>
        <v>3</v>
      </c>
      <c r="D58" s="36"/>
      <c r="E58" s="32" t="s">
        <v>37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" customHeight="1">
      <c r="A59" s="2"/>
      <c r="B59" s="43"/>
      <c r="C59" s="37"/>
      <c r="D59" s="38"/>
      <c r="E59" s="34" t="s">
        <v>38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 ht="15" customHeight="1">
      <c r="A60" s="2"/>
      <c r="B60" s="43"/>
      <c r="C60" s="35">
        <f>C58+1</f>
        <v>4</v>
      </c>
      <c r="D60" s="36"/>
      <c r="E60" s="32" t="s">
        <v>37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ht="15" customHeight="1">
      <c r="A61" s="2"/>
      <c r="B61" s="43"/>
      <c r="C61" s="37"/>
      <c r="D61" s="38"/>
      <c r="E61" s="34" t="s">
        <v>38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15" customHeight="1">
      <c r="A62" s="2"/>
      <c r="B62" s="43"/>
      <c r="C62" s="35">
        <f>C60+1</f>
        <v>5</v>
      </c>
      <c r="D62" s="36"/>
      <c r="E62" s="32" t="s">
        <v>37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 ht="15" customHeight="1">
      <c r="A63" s="2"/>
      <c r="B63" s="43"/>
      <c r="C63" s="37"/>
      <c r="D63" s="38"/>
      <c r="E63" s="34" t="s">
        <v>38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ht="15" customHeight="1">
      <c r="A64" s="2"/>
      <c r="B64" s="43"/>
      <c r="C64" s="35">
        <f>C62+1</f>
        <v>6</v>
      </c>
      <c r="D64" s="36"/>
      <c r="E64" s="32" t="s">
        <v>37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 ht="15" customHeight="1">
      <c r="A65" s="2"/>
      <c r="B65" s="43"/>
      <c r="C65" s="37"/>
      <c r="D65" s="38"/>
      <c r="E65" s="34" t="s">
        <v>38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 ht="15" customHeight="1">
      <c r="A66" s="2"/>
      <c r="B66" s="43"/>
      <c r="C66" s="35">
        <f>C64+1</f>
        <v>7</v>
      </c>
      <c r="D66" s="36"/>
      <c r="E66" s="32" t="s">
        <v>37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 ht="15" customHeight="1">
      <c r="A67" s="2"/>
      <c r="B67" s="43"/>
      <c r="C67" s="37"/>
      <c r="D67" s="38"/>
      <c r="E67" s="34" t="s">
        <v>38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ht="15" customHeight="1">
      <c r="A68" s="2"/>
      <c r="B68" s="43"/>
      <c r="C68" s="35">
        <f>C66+1</f>
        <v>8</v>
      </c>
      <c r="D68" s="36"/>
      <c r="E68" s="32" t="s">
        <v>37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ht="15" customHeight="1">
      <c r="A69" s="2"/>
      <c r="B69" s="43"/>
      <c r="C69" s="37"/>
      <c r="D69" s="38"/>
      <c r="E69" s="34" t="s">
        <v>38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ht="9.9499999999999993" customHeight="1">
      <c r="A70" s="2"/>
      <c r="B70" s="42"/>
      <c r="C70" s="45"/>
      <c r="D70" s="22"/>
      <c r="E70" s="22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7"/>
    </row>
    <row r="71" spans="1:25" ht="20.100000000000001" customHeight="1">
      <c r="B71" s="44" t="s">
        <v>39</v>
      </c>
      <c r="C71" s="22"/>
      <c r="D71" s="22" t="s">
        <v>40</v>
      </c>
      <c r="E71" s="23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237" customHeight="1">
      <c r="F72" s="75"/>
      <c r="G72" s="75"/>
      <c r="H72" s="75"/>
      <c r="I72" s="75"/>
      <c r="J72" s="75"/>
      <c r="K72" s="75"/>
      <c r="L72" s="75"/>
      <c r="M72" s="75" t="s">
        <v>124</v>
      </c>
      <c r="N72" s="75" t="s">
        <v>123</v>
      </c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4"/>
    </row>
  </sheetData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49A5-888C-4C7D-819A-59FF43C8E24C}">
  <dimension ref="A1:DV148"/>
  <sheetViews>
    <sheetView zoomScale="70" zoomScaleNormal="70" workbookViewId="0">
      <selection sqref="A1:B1"/>
    </sheetView>
  </sheetViews>
  <sheetFormatPr defaultColWidth="8.875" defaultRowHeight="13.5"/>
  <cols>
    <col min="1" max="1" width="3.375" style="64" customWidth="1"/>
    <col min="2" max="2" width="76.875" style="64" customWidth="1"/>
    <col min="3" max="3" width="18.375" style="64" customWidth="1"/>
    <col min="4" max="4" width="14.875" bestFit="1" customWidth="1"/>
    <col min="5" max="5" width="17.25" bestFit="1" customWidth="1"/>
    <col min="6" max="7" width="11.125" customWidth="1"/>
    <col min="8" max="8" width="37" customWidth="1"/>
    <col min="9" max="9" width="30.5" customWidth="1"/>
    <col min="10" max="10" width="15.5" style="64" customWidth="1"/>
    <col min="11" max="12" width="24" style="64" customWidth="1"/>
    <col min="13" max="13" width="32.25" style="64" customWidth="1"/>
    <col min="14" max="14" width="20.5" style="64" customWidth="1"/>
    <col min="15" max="15" width="22.75" style="64" customWidth="1"/>
    <col min="16" max="16" width="25.25" style="64" customWidth="1"/>
    <col min="17" max="18" width="22.75" style="64" customWidth="1"/>
    <col min="19" max="19" width="19.125" style="64" bestFit="1" customWidth="1"/>
    <col min="20" max="20" width="30" style="64" customWidth="1"/>
    <col min="21" max="21" width="26.25" style="64" customWidth="1"/>
    <col min="22" max="22" width="28.75" style="64" customWidth="1"/>
    <col min="23" max="23" width="33.75" style="64" customWidth="1"/>
    <col min="24" max="24" width="29" style="64" customWidth="1"/>
    <col min="25" max="25" width="24" style="64" bestFit="1" customWidth="1"/>
    <col min="26" max="26" width="22.75" style="64" bestFit="1" customWidth="1"/>
    <col min="27" max="27" width="26.875" style="64" customWidth="1"/>
    <col min="28" max="28" width="20.5" style="64" bestFit="1" customWidth="1"/>
    <col min="29" max="29" width="16.625" style="64" bestFit="1" customWidth="1"/>
    <col min="30" max="30" width="31.375" style="64" bestFit="1" customWidth="1"/>
    <col min="31" max="31" width="25.25" style="64" bestFit="1" customWidth="1"/>
    <col min="32" max="33" width="8.875" style="64"/>
    <col min="34" max="34" width="17.5" style="64" customWidth="1"/>
    <col min="35" max="35" width="29" style="64" customWidth="1"/>
    <col min="36" max="36" width="26.875" style="64" customWidth="1"/>
    <col min="37" max="37" width="8.875" style="64"/>
    <col min="38" max="38" width="33.875" style="64" customWidth="1"/>
    <col min="39" max="47" width="8.875" style="64"/>
    <col min="48" max="48" width="30.625" style="64" customWidth="1"/>
    <col min="49" max="122" width="8.875" style="64"/>
    <col min="123" max="123" width="17.875" style="64" customWidth="1"/>
    <col min="124" max="125" width="8.875" style="64"/>
    <col min="126" max="126" width="18.5" style="64" customWidth="1"/>
    <col min="127" max="16384" width="8.875" style="64"/>
  </cols>
  <sheetData>
    <row r="1" spans="1:52">
      <c r="A1" s="162"/>
      <c r="B1" s="162"/>
      <c r="C1" s="77"/>
      <c r="D1" t="s">
        <v>134</v>
      </c>
      <c r="E1" t="s">
        <v>135</v>
      </c>
      <c r="F1" t="s">
        <v>133</v>
      </c>
      <c r="G1" t="s">
        <v>139</v>
      </c>
      <c r="H1" t="s">
        <v>143</v>
      </c>
      <c r="I1" t="s">
        <v>142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</row>
    <row r="2" spans="1:52">
      <c r="A2" s="162"/>
      <c r="B2" s="162"/>
      <c r="C2" s="77"/>
      <c r="J2" s="77"/>
      <c r="K2" s="77"/>
      <c r="L2" s="77"/>
      <c r="M2" s="77" t="s">
        <v>770</v>
      </c>
      <c r="N2" s="77"/>
      <c r="O2" s="77" t="s">
        <v>775</v>
      </c>
      <c r="P2" s="77" t="s">
        <v>768</v>
      </c>
      <c r="Q2" s="77" t="s">
        <v>771</v>
      </c>
      <c r="R2" s="77" t="s">
        <v>762</v>
      </c>
      <c r="S2" s="77" t="s">
        <v>763</v>
      </c>
      <c r="T2" s="77" t="s">
        <v>765</v>
      </c>
      <c r="U2" s="77" t="s">
        <v>766</v>
      </c>
      <c r="V2" s="77" t="s">
        <v>767</v>
      </c>
      <c r="W2" s="77"/>
      <c r="X2" s="77"/>
      <c r="Y2" s="77"/>
      <c r="Z2" s="77"/>
      <c r="AA2" s="77"/>
      <c r="AB2" s="77"/>
      <c r="AC2" s="77"/>
      <c r="AD2" s="77"/>
      <c r="AE2" s="77"/>
      <c r="AF2" s="77"/>
    </row>
    <row r="3" spans="1:52">
      <c r="A3" s="77"/>
      <c r="B3" s="77"/>
      <c r="C3" s="77"/>
      <c r="D3">
        <v>1</v>
      </c>
      <c r="E3" t="s">
        <v>141</v>
      </c>
      <c r="F3" t="s">
        <v>136</v>
      </c>
      <c r="G3" t="s">
        <v>140</v>
      </c>
      <c r="H3" t="s">
        <v>406</v>
      </c>
      <c r="I3" s="77" t="s">
        <v>405</v>
      </c>
      <c r="J3" s="77"/>
      <c r="K3" s="77"/>
      <c r="L3" s="77"/>
      <c r="M3" s="77"/>
      <c r="N3" s="77"/>
      <c r="O3" s="105" t="s">
        <v>753</v>
      </c>
      <c r="P3" s="105" t="s">
        <v>754</v>
      </c>
      <c r="Q3" s="105" t="s">
        <v>755</v>
      </c>
      <c r="R3" s="105" t="s">
        <v>756</v>
      </c>
      <c r="S3" s="105" t="s">
        <v>757</v>
      </c>
      <c r="T3" s="105" t="s">
        <v>758</v>
      </c>
      <c r="U3" s="105" t="s">
        <v>759</v>
      </c>
      <c r="V3" s="105" t="s">
        <v>760</v>
      </c>
      <c r="W3" s="105" t="s">
        <v>761</v>
      </c>
      <c r="X3" s="77"/>
      <c r="Y3" s="77"/>
      <c r="Z3" s="77"/>
      <c r="AA3" s="77"/>
      <c r="AB3" s="77"/>
      <c r="AC3" s="77"/>
      <c r="AD3" s="77"/>
    </row>
    <row r="4" spans="1:52" ht="13.15" customHeight="1">
      <c r="A4" s="162"/>
      <c r="B4" s="162"/>
      <c r="C4" s="77"/>
      <c r="I4" s="77"/>
      <c r="J4" s="78" t="s">
        <v>41</v>
      </c>
      <c r="K4" s="78" t="s">
        <v>42</v>
      </c>
      <c r="L4" s="78" t="s">
        <v>43</v>
      </c>
      <c r="M4" s="78" t="s">
        <v>915</v>
      </c>
      <c r="N4" s="78" t="s">
        <v>79</v>
      </c>
      <c r="O4" s="78" t="s">
        <v>349</v>
      </c>
      <c r="P4" s="78" t="s">
        <v>1020</v>
      </c>
      <c r="Q4" s="78" t="s">
        <v>75</v>
      </c>
      <c r="R4" s="78" t="s">
        <v>897</v>
      </c>
      <c r="S4" s="78" t="s">
        <v>1023</v>
      </c>
      <c r="T4" s="78" t="s">
        <v>354</v>
      </c>
      <c r="U4" s="78" t="s">
        <v>1025</v>
      </c>
      <c r="V4" s="78" t="s">
        <v>408</v>
      </c>
      <c r="W4" s="78" t="s">
        <v>885</v>
      </c>
      <c r="X4" s="78" t="s">
        <v>409</v>
      </c>
      <c r="Y4" s="78" t="s">
        <v>410</v>
      </c>
      <c r="Z4" s="78" t="s">
        <v>411</v>
      </c>
      <c r="AA4" s="78" t="s">
        <v>412</v>
      </c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</row>
    <row r="5" spans="1:52" ht="13.15" customHeight="1">
      <c r="A5" s="77"/>
      <c r="B5" s="79" t="s">
        <v>914</v>
      </c>
      <c r="C5" s="80" t="s">
        <v>122</v>
      </c>
      <c r="I5" s="77"/>
      <c r="J5" s="78" t="s">
        <v>51</v>
      </c>
      <c r="K5" s="78" t="s">
        <v>52</v>
      </c>
      <c r="L5" s="78" t="s">
        <v>53</v>
      </c>
      <c r="M5" s="78" t="s">
        <v>54</v>
      </c>
      <c r="N5" s="78" t="s">
        <v>55</v>
      </c>
      <c r="O5" s="78" t="s">
        <v>413</v>
      </c>
      <c r="P5" s="78" t="s">
        <v>414</v>
      </c>
      <c r="Q5" s="78" t="s">
        <v>415</v>
      </c>
      <c r="R5" s="78" t="s">
        <v>416</v>
      </c>
      <c r="S5" s="78" t="s">
        <v>417</v>
      </c>
      <c r="T5" s="78" t="s">
        <v>418</v>
      </c>
      <c r="U5" s="78" t="s">
        <v>419</v>
      </c>
      <c r="V5" s="78" t="s">
        <v>420</v>
      </c>
      <c r="W5" s="78" t="s">
        <v>421</v>
      </c>
      <c r="X5" s="78" t="s">
        <v>422</v>
      </c>
      <c r="Y5" s="78" t="s">
        <v>423</v>
      </c>
      <c r="Z5" s="78" t="s">
        <v>424</v>
      </c>
      <c r="AA5" s="78" t="s">
        <v>425</v>
      </c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</row>
    <row r="6" spans="1:52" ht="96" customHeight="1">
      <c r="A6" s="77"/>
      <c r="B6" s="81" t="s">
        <v>939</v>
      </c>
      <c r="C6" s="83">
        <v>1</v>
      </c>
      <c r="J6" s="86" t="s">
        <v>145</v>
      </c>
      <c r="K6" s="87">
        <v>3</v>
      </c>
      <c r="L6" s="95">
        <v>46011.416666666664</v>
      </c>
      <c r="M6" s="95">
        <v>46009.416666666664</v>
      </c>
      <c r="N6" s="86" t="s">
        <v>889</v>
      </c>
      <c r="O6" s="96">
        <v>46011</v>
      </c>
      <c r="P6" s="86" t="s">
        <v>117</v>
      </c>
      <c r="Q6" s="86" t="s">
        <v>667</v>
      </c>
      <c r="R6" s="86" t="s">
        <v>262</v>
      </c>
      <c r="S6" s="86" t="s">
        <v>260</v>
      </c>
      <c r="T6" s="86" t="s">
        <v>668</v>
      </c>
      <c r="U6" s="86" t="s">
        <v>112</v>
      </c>
      <c r="V6" s="86" t="s">
        <v>115</v>
      </c>
      <c r="W6" s="86" t="s">
        <v>456</v>
      </c>
      <c r="X6" s="87">
        <v>190000</v>
      </c>
      <c r="Y6" s="86" t="s">
        <v>145</v>
      </c>
      <c r="Z6" s="86" t="s">
        <v>146</v>
      </c>
      <c r="AA6" s="86" t="s">
        <v>146</v>
      </c>
      <c r="AB6" s="77"/>
      <c r="AC6" s="77"/>
      <c r="AD6" s="77"/>
      <c r="AE6" s="77"/>
      <c r="AF6" s="77"/>
    </row>
    <row r="7" spans="1:52" ht="95.25" customHeight="1">
      <c r="A7" s="77"/>
      <c r="B7" s="81" t="s">
        <v>940</v>
      </c>
      <c r="C7" s="83">
        <v>1</v>
      </c>
      <c r="J7" s="86" t="s">
        <v>145</v>
      </c>
      <c r="K7" s="87">
        <v>1</v>
      </c>
      <c r="L7" s="95">
        <v>46011.416666666664</v>
      </c>
      <c r="M7" s="95">
        <v>46021.416666666664</v>
      </c>
      <c r="N7" s="86" t="s">
        <v>913</v>
      </c>
      <c r="O7" s="96">
        <v>46011</v>
      </c>
      <c r="P7" s="86" t="s">
        <v>117</v>
      </c>
      <c r="Q7" s="86" t="s">
        <v>667</v>
      </c>
      <c r="R7" s="86" t="s">
        <v>262</v>
      </c>
      <c r="S7" s="86" t="s">
        <v>260</v>
      </c>
      <c r="T7" s="86" t="s">
        <v>668</v>
      </c>
      <c r="U7" s="86" t="s">
        <v>112</v>
      </c>
      <c r="V7" s="86" t="s">
        <v>115</v>
      </c>
      <c r="W7" s="86" t="s">
        <v>468</v>
      </c>
      <c r="X7" s="87">
        <v>200000</v>
      </c>
      <c r="Y7" s="86" t="s">
        <v>145</v>
      </c>
      <c r="Z7" s="86" t="s">
        <v>146</v>
      </c>
      <c r="AA7" s="86" t="s">
        <v>146</v>
      </c>
      <c r="AB7" s="77"/>
      <c r="AC7" s="77"/>
      <c r="AD7" s="77"/>
      <c r="AE7" s="77"/>
      <c r="AF7" s="77"/>
    </row>
    <row r="8" spans="1:52" ht="97.5" customHeight="1">
      <c r="A8" s="77"/>
      <c r="B8" s="81" t="s">
        <v>941</v>
      </c>
      <c r="C8" s="83">
        <v>1</v>
      </c>
      <c r="J8" s="86" t="s">
        <v>145</v>
      </c>
      <c r="K8" s="87">
        <v>2</v>
      </c>
      <c r="L8" s="95">
        <v>46011.416666666664</v>
      </c>
      <c r="M8" s="95">
        <v>46010.416666666664</v>
      </c>
      <c r="N8" s="86" t="s">
        <v>887</v>
      </c>
      <c r="O8" s="96">
        <v>46011</v>
      </c>
      <c r="P8" s="86" t="s">
        <v>117</v>
      </c>
      <c r="Q8" s="86" t="s">
        <v>667</v>
      </c>
      <c r="R8" s="86" t="s">
        <v>262</v>
      </c>
      <c r="S8" s="86" t="s">
        <v>260</v>
      </c>
      <c r="T8" s="86" t="s">
        <v>668</v>
      </c>
      <c r="U8" s="86" t="s">
        <v>112</v>
      </c>
      <c r="V8" s="86" t="s">
        <v>115</v>
      </c>
      <c r="W8" s="86" t="s">
        <v>886</v>
      </c>
      <c r="X8" s="87">
        <v>210000</v>
      </c>
      <c r="Y8" s="86" t="s">
        <v>145</v>
      </c>
      <c r="Z8" s="86" t="s">
        <v>146</v>
      </c>
      <c r="AA8" s="86" t="s">
        <v>146</v>
      </c>
      <c r="AB8" s="77"/>
      <c r="AC8" s="77"/>
      <c r="AD8" s="77"/>
      <c r="AE8" s="77"/>
      <c r="AF8" s="77"/>
    </row>
    <row r="9" spans="1:52" ht="71.25" customHeight="1">
      <c r="A9" s="77"/>
      <c r="B9" s="81" t="s">
        <v>936</v>
      </c>
      <c r="C9" s="83">
        <v>1</v>
      </c>
      <c r="J9" s="86" t="s">
        <v>145</v>
      </c>
      <c r="K9" s="87">
        <v>2</v>
      </c>
      <c r="L9" s="95">
        <v>46011.416666666664</v>
      </c>
      <c r="M9" s="95">
        <v>46010.416666666664</v>
      </c>
      <c r="N9" s="86" t="s">
        <v>913</v>
      </c>
      <c r="O9" s="96">
        <v>46013</v>
      </c>
      <c r="P9" s="86" t="s">
        <v>117</v>
      </c>
      <c r="Q9" s="86" t="s">
        <v>667</v>
      </c>
      <c r="R9" s="86" t="s">
        <v>262</v>
      </c>
      <c r="S9" s="86" t="s">
        <v>260</v>
      </c>
      <c r="T9" s="86" t="s">
        <v>948</v>
      </c>
      <c r="U9" s="86" t="s">
        <v>112</v>
      </c>
      <c r="V9" s="86" t="s">
        <v>115</v>
      </c>
      <c r="W9" s="86" t="s">
        <v>453</v>
      </c>
      <c r="X9" s="87">
        <v>210005</v>
      </c>
      <c r="Y9" s="86" t="s">
        <v>145</v>
      </c>
      <c r="Z9" s="86" t="s">
        <v>146</v>
      </c>
      <c r="AA9" s="86" t="s">
        <v>146</v>
      </c>
      <c r="AB9" s="77"/>
      <c r="AC9" s="77"/>
      <c r="AD9" s="77"/>
      <c r="AE9" s="77"/>
      <c r="AF9" s="77"/>
    </row>
    <row r="10" spans="1:52" ht="71.25" customHeight="1">
      <c r="A10" s="77"/>
      <c r="B10" s="81" t="s">
        <v>937</v>
      </c>
      <c r="C10" s="83">
        <v>1</v>
      </c>
      <c r="J10" s="86" t="s">
        <v>456</v>
      </c>
      <c r="K10" s="87">
        <v>2</v>
      </c>
      <c r="L10" s="95">
        <v>46011.416666666664</v>
      </c>
      <c r="M10" s="95">
        <v>46010.416666666664</v>
      </c>
      <c r="N10" s="86" t="s">
        <v>913</v>
      </c>
      <c r="O10" s="96">
        <v>46011</v>
      </c>
      <c r="P10" s="86" t="s">
        <v>117</v>
      </c>
      <c r="Q10" s="86" t="s">
        <v>667</v>
      </c>
      <c r="R10" s="86" t="s">
        <v>262</v>
      </c>
      <c r="S10" s="86" t="s">
        <v>260</v>
      </c>
      <c r="T10" s="86" t="s">
        <v>949</v>
      </c>
      <c r="U10" s="86" t="s">
        <v>112</v>
      </c>
      <c r="V10" s="86" t="s">
        <v>115</v>
      </c>
      <c r="W10" s="86" t="s">
        <v>938</v>
      </c>
      <c r="X10" s="87">
        <v>210005</v>
      </c>
      <c r="Y10" s="86" t="s">
        <v>145</v>
      </c>
      <c r="Z10" s="86" t="s">
        <v>146</v>
      </c>
      <c r="AA10" s="86" t="s">
        <v>146</v>
      </c>
      <c r="AB10" s="77"/>
      <c r="AC10" s="77"/>
      <c r="AD10" s="77"/>
      <c r="AE10" s="77"/>
      <c r="AF10" s="77"/>
    </row>
    <row r="11" spans="1:52" ht="75.75" customHeight="1">
      <c r="A11" s="77"/>
      <c r="B11" s="81" t="s">
        <v>942</v>
      </c>
      <c r="C11" s="83" t="s">
        <v>944</v>
      </c>
      <c r="J11" s="86" t="s">
        <v>145</v>
      </c>
      <c r="K11" s="87">
        <v>2</v>
      </c>
      <c r="L11" s="95">
        <v>46011.416666666664</v>
      </c>
      <c r="M11" s="95">
        <v>46010.416666666664</v>
      </c>
      <c r="N11" s="86" t="s">
        <v>913</v>
      </c>
      <c r="O11" s="96">
        <v>45992</v>
      </c>
      <c r="P11" s="86" t="s">
        <v>117</v>
      </c>
      <c r="Q11" s="86" t="s">
        <v>667</v>
      </c>
      <c r="R11" s="86" t="s">
        <v>262</v>
      </c>
      <c r="S11" s="86" t="s">
        <v>260</v>
      </c>
      <c r="T11" s="86" t="s">
        <v>668</v>
      </c>
      <c r="U11" s="86" t="s">
        <v>112</v>
      </c>
      <c r="V11" s="86" t="s">
        <v>115</v>
      </c>
      <c r="W11" s="86" t="s">
        <v>456</v>
      </c>
      <c r="X11" s="87">
        <v>210001</v>
      </c>
      <c r="Y11" s="86" t="s">
        <v>145</v>
      </c>
      <c r="Z11" s="86" t="s">
        <v>146</v>
      </c>
      <c r="AA11" s="86" t="s">
        <v>146</v>
      </c>
      <c r="AB11" s="77"/>
      <c r="AC11" s="77"/>
      <c r="AD11" s="77"/>
      <c r="AE11" s="77"/>
      <c r="AF11" s="77"/>
    </row>
    <row r="12" spans="1:52" ht="83.25" customHeight="1">
      <c r="A12" s="77"/>
      <c r="B12" s="81" t="s">
        <v>943</v>
      </c>
      <c r="C12" s="83" t="s">
        <v>945</v>
      </c>
      <c r="J12" s="86" t="s">
        <v>145</v>
      </c>
      <c r="K12" s="87">
        <v>2</v>
      </c>
      <c r="L12" s="95">
        <v>46011.416666666664</v>
      </c>
      <c r="M12" s="95">
        <v>46010.416666666664</v>
      </c>
      <c r="N12" s="86" t="s">
        <v>913</v>
      </c>
      <c r="O12" s="96">
        <v>46016</v>
      </c>
      <c r="P12" s="86" t="s">
        <v>117</v>
      </c>
      <c r="Q12" s="86" t="s">
        <v>667</v>
      </c>
      <c r="R12" s="86" t="s">
        <v>262</v>
      </c>
      <c r="S12" s="86" t="s">
        <v>260</v>
      </c>
      <c r="T12" s="86" t="s">
        <v>668</v>
      </c>
      <c r="U12" s="86" t="s">
        <v>112</v>
      </c>
      <c r="V12" s="86" t="s">
        <v>115</v>
      </c>
      <c r="W12" s="86" t="s">
        <v>456</v>
      </c>
      <c r="X12" s="87">
        <v>210002</v>
      </c>
      <c r="Y12" s="86" t="s">
        <v>145</v>
      </c>
      <c r="Z12" s="86" t="s">
        <v>146</v>
      </c>
      <c r="AA12" s="86" t="s">
        <v>146</v>
      </c>
      <c r="AB12" s="77"/>
      <c r="AC12" s="77"/>
      <c r="AD12" s="77"/>
      <c r="AE12" s="77"/>
      <c r="AF12" s="77"/>
    </row>
    <row r="13" spans="1:52" ht="87" customHeight="1">
      <c r="A13" s="77"/>
      <c r="B13" s="81" t="s">
        <v>977</v>
      </c>
      <c r="C13" s="83" t="s">
        <v>946</v>
      </c>
      <c r="J13" s="86" t="s">
        <v>145</v>
      </c>
      <c r="K13" s="87">
        <v>2</v>
      </c>
      <c r="L13" s="95">
        <v>46011.416666666664</v>
      </c>
      <c r="M13" s="95">
        <v>46010.416666666664</v>
      </c>
      <c r="N13" s="86" t="s">
        <v>913</v>
      </c>
      <c r="O13" s="96">
        <v>45991</v>
      </c>
      <c r="P13" s="86" t="s">
        <v>117</v>
      </c>
      <c r="Q13" s="86" t="s">
        <v>667</v>
      </c>
      <c r="R13" s="86" t="s">
        <v>262</v>
      </c>
      <c r="S13" s="86" t="s">
        <v>260</v>
      </c>
      <c r="T13" s="86" t="s">
        <v>668</v>
      </c>
      <c r="U13" s="86" t="s">
        <v>112</v>
      </c>
      <c r="V13" s="86" t="s">
        <v>115</v>
      </c>
      <c r="W13" s="86" t="s">
        <v>456</v>
      </c>
      <c r="X13" s="87">
        <v>210003</v>
      </c>
      <c r="Y13" s="86" t="s">
        <v>145</v>
      </c>
      <c r="Z13" s="86" t="s">
        <v>146</v>
      </c>
      <c r="AA13" s="86" t="s">
        <v>146</v>
      </c>
      <c r="AB13" s="77"/>
      <c r="AC13" s="77"/>
      <c r="AD13" s="77"/>
      <c r="AE13" s="77"/>
      <c r="AF13" s="77"/>
    </row>
    <row r="14" spans="1:52" ht="79.5" customHeight="1">
      <c r="A14" s="77"/>
      <c r="B14" s="81" t="s">
        <v>978</v>
      </c>
      <c r="C14" s="83" t="s">
        <v>947</v>
      </c>
      <c r="J14" s="86" t="s">
        <v>145</v>
      </c>
      <c r="K14" s="87">
        <v>2</v>
      </c>
      <c r="L14" s="95">
        <v>46011.416666666664</v>
      </c>
      <c r="M14" s="95">
        <v>46010.416666666664</v>
      </c>
      <c r="N14" s="86" t="s">
        <v>913</v>
      </c>
      <c r="O14" s="96">
        <v>46017</v>
      </c>
      <c r="P14" s="86" t="s">
        <v>117</v>
      </c>
      <c r="Q14" s="86" t="s">
        <v>667</v>
      </c>
      <c r="R14" s="86" t="s">
        <v>262</v>
      </c>
      <c r="S14" s="86" t="s">
        <v>260</v>
      </c>
      <c r="T14" s="86" t="s">
        <v>1036</v>
      </c>
      <c r="U14" s="86" t="s">
        <v>112</v>
      </c>
      <c r="V14" s="86" t="s">
        <v>115</v>
      </c>
      <c r="W14" s="86" t="s">
        <v>456</v>
      </c>
      <c r="X14" s="87">
        <v>210004</v>
      </c>
      <c r="Y14" s="86" t="s">
        <v>145</v>
      </c>
      <c r="Z14" s="86" t="s">
        <v>146</v>
      </c>
      <c r="AA14" s="86" t="s">
        <v>146</v>
      </c>
      <c r="AB14" s="77"/>
      <c r="AC14" s="77"/>
      <c r="AD14" s="77"/>
      <c r="AE14" s="77"/>
      <c r="AF14" s="77"/>
    </row>
    <row r="15" spans="1:52" ht="27">
      <c r="A15" s="77"/>
      <c r="B15" s="81" t="s">
        <v>1019</v>
      </c>
      <c r="C15" s="83" t="s">
        <v>1018</v>
      </c>
      <c r="J15" s="86" t="s">
        <v>145</v>
      </c>
      <c r="K15" s="87">
        <v>0</v>
      </c>
      <c r="L15" s="95">
        <v>46011.416666666664</v>
      </c>
      <c r="M15" s="95">
        <v>46011.416666666664</v>
      </c>
      <c r="N15" s="86" t="s">
        <v>452</v>
      </c>
      <c r="O15" s="96">
        <v>46011</v>
      </c>
      <c r="P15" s="86" t="s">
        <v>886</v>
      </c>
      <c r="Q15" s="86" t="s">
        <v>1021</v>
      </c>
      <c r="R15" s="86" t="s">
        <v>146</v>
      </c>
      <c r="S15" s="86" t="s">
        <v>938</v>
      </c>
      <c r="T15" s="86" t="s">
        <v>949</v>
      </c>
      <c r="U15" s="86" t="s">
        <v>1027</v>
      </c>
      <c r="V15" s="86" t="s">
        <v>680</v>
      </c>
      <c r="W15" s="86" t="s">
        <v>456</v>
      </c>
      <c r="X15" s="87">
        <v>100000</v>
      </c>
      <c r="Y15" s="86" t="s">
        <v>1017</v>
      </c>
      <c r="Z15" s="86" t="s">
        <v>146</v>
      </c>
      <c r="AA15" s="86" t="s">
        <v>146</v>
      </c>
      <c r="AB15" s="77"/>
      <c r="AC15" s="77"/>
      <c r="AD15" s="77"/>
      <c r="AE15" s="77"/>
      <c r="AF15" s="77"/>
    </row>
    <row r="16" spans="1:52" ht="27">
      <c r="A16" s="77"/>
      <c r="B16" s="81" t="s">
        <v>1019</v>
      </c>
      <c r="C16" s="83" t="s">
        <v>1018</v>
      </c>
      <c r="J16" s="86" t="s">
        <v>145</v>
      </c>
      <c r="K16" s="87">
        <v>0</v>
      </c>
      <c r="L16" s="95">
        <v>46011.416666666664</v>
      </c>
      <c r="M16" s="95">
        <v>46011.416666666664</v>
      </c>
      <c r="N16" s="86" t="s">
        <v>455</v>
      </c>
      <c r="O16" s="96">
        <v>46011</v>
      </c>
      <c r="P16" s="86" t="s">
        <v>453</v>
      </c>
      <c r="Q16" s="86" t="s">
        <v>1022</v>
      </c>
      <c r="R16" s="86" t="s">
        <v>146</v>
      </c>
      <c r="S16" s="86" t="s">
        <v>938</v>
      </c>
      <c r="T16" s="86" t="s">
        <v>949</v>
      </c>
      <c r="U16" s="86" t="s">
        <v>1027</v>
      </c>
      <c r="V16" s="86" t="s">
        <v>680</v>
      </c>
      <c r="W16" s="86" t="s">
        <v>456</v>
      </c>
      <c r="X16" s="87">
        <v>110000</v>
      </c>
      <c r="Y16" s="86" t="s">
        <v>1017</v>
      </c>
      <c r="Z16" s="86" t="s">
        <v>146</v>
      </c>
      <c r="AA16" s="86" t="s">
        <v>146</v>
      </c>
      <c r="AB16" s="77"/>
      <c r="AC16" s="77"/>
      <c r="AD16" s="77"/>
      <c r="AE16" s="77"/>
      <c r="AF16" s="77"/>
    </row>
    <row r="17" spans="1:52" ht="27">
      <c r="A17" s="77"/>
      <c r="B17" s="81" t="s">
        <v>1019</v>
      </c>
      <c r="C17" s="83" t="s">
        <v>1018</v>
      </c>
      <c r="J17" s="86" t="s">
        <v>145</v>
      </c>
      <c r="K17" s="87">
        <v>0</v>
      </c>
      <c r="L17" s="95">
        <v>46011.416666666664</v>
      </c>
      <c r="M17" s="95">
        <v>46011.416666666664</v>
      </c>
      <c r="N17" s="86" t="s">
        <v>454</v>
      </c>
      <c r="O17" s="96">
        <v>46011</v>
      </c>
      <c r="P17" s="86" t="s">
        <v>938</v>
      </c>
      <c r="Q17" s="86" t="s">
        <v>661</v>
      </c>
      <c r="R17" s="86" t="s">
        <v>146</v>
      </c>
      <c r="S17" s="86" t="s">
        <v>938</v>
      </c>
      <c r="T17" s="86" t="s">
        <v>949</v>
      </c>
      <c r="U17" s="86" t="s">
        <v>1027</v>
      </c>
      <c r="V17" s="86" t="s">
        <v>1031</v>
      </c>
      <c r="W17" s="86" t="s">
        <v>456</v>
      </c>
      <c r="X17" s="87">
        <v>120000</v>
      </c>
      <c r="Y17" s="86" t="s">
        <v>1017</v>
      </c>
      <c r="Z17" s="86" t="s">
        <v>146</v>
      </c>
      <c r="AA17" s="86" t="s">
        <v>146</v>
      </c>
      <c r="AB17" s="77"/>
      <c r="AC17" s="77"/>
      <c r="AD17" s="77"/>
      <c r="AE17" s="77"/>
      <c r="AF17" s="77"/>
    </row>
    <row r="18" spans="1:52" ht="27">
      <c r="A18" s="77"/>
      <c r="B18" s="81" t="s">
        <v>1019</v>
      </c>
      <c r="C18" s="83" t="s">
        <v>1018</v>
      </c>
      <c r="J18" s="86" t="s">
        <v>145</v>
      </c>
      <c r="K18" s="87">
        <v>0</v>
      </c>
      <c r="L18" s="95">
        <v>46011.416666666664</v>
      </c>
      <c r="M18" s="95">
        <v>46011.416666666664</v>
      </c>
      <c r="N18" s="86" t="s">
        <v>492</v>
      </c>
      <c r="O18" s="96">
        <v>46011</v>
      </c>
      <c r="P18" s="86" t="s">
        <v>886</v>
      </c>
      <c r="Q18" s="86" t="s">
        <v>1039</v>
      </c>
      <c r="R18" s="86" t="s">
        <v>146</v>
      </c>
      <c r="S18" s="86" t="s">
        <v>938</v>
      </c>
      <c r="T18" s="86" t="s">
        <v>949</v>
      </c>
      <c r="U18" s="86" t="s">
        <v>1027</v>
      </c>
      <c r="V18" s="86" t="s">
        <v>680</v>
      </c>
      <c r="W18" s="86" t="s">
        <v>456</v>
      </c>
      <c r="X18" s="87">
        <v>130000</v>
      </c>
      <c r="Y18" s="86" t="s">
        <v>1017</v>
      </c>
      <c r="Z18" s="86" t="s">
        <v>146</v>
      </c>
      <c r="AA18" s="86" t="s">
        <v>146</v>
      </c>
      <c r="AB18" s="77"/>
      <c r="AC18" s="77"/>
      <c r="AD18" s="77"/>
      <c r="AE18" s="77"/>
      <c r="AF18" s="77"/>
    </row>
    <row r="19" spans="1:52" ht="27">
      <c r="A19" s="77"/>
      <c r="B19" s="81" t="s">
        <v>1019</v>
      </c>
      <c r="C19" s="83" t="s">
        <v>1018</v>
      </c>
      <c r="J19" s="86" t="s">
        <v>145</v>
      </c>
      <c r="K19" s="87">
        <v>0</v>
      </c>
      <c r="L19" s="95">
        <v>46011.416666666664</v>
      </c>
      <c r="M19" s="95">
        <v>46011.416666666664</v>
      </c>
      <c r="N19" s="86" t="s">
        <v>493</v>
      </c>
      <c r="O19" s="96">
        <v>46011</v>
      </c>
      <c r="P19" s="86" t="s">
        <v>886</v>
      </c>
      <c r="Q19" s="86" t="s">
        <v>661</v>
      </c>
      <c r="R19" s="86" t="s">
        <v>146</v>
      </c>
      <c r="S19" s="86" t="s">
        <v>938</v>
      </c>
      <c r="T19" s="86" t="s">
        <v>949</v>
      </c>
      <c r="U19" s="86" t="s">
        <v>683</v>
      </c>
      <c r="V19" s="86" t="s">
        <v>111</v>
      </c>
      <c r="W19" s="86" t="s">
        <v>456</v>
      </c>
      <c r="X19" s="87">
        <v>140000</v>
      </c>
      <c r="Y19" s="86" t="s">
        <v>1017</v>
      </c>
      <c r="Z19" s="86" t="s">
        <v>146</v>
      </c>
      <c r="AA19" s="86" t="s">
        <v>146</v>
      </c>
      <c r="AB19" s="77"/>
      <c r="AC19" s="77"/>
      <c r="AD19" s="77"/>
      <c r="AE19" s="77"/>
      <c r="AF19" s="77"/>
    </row>
    <row r="20" spans="1:52" ht="27">
      <c r="A20" s="77"/>
      <c r="B20" s="81" t="s">
        <v>1019</v>
      </c>
      <c r="C20" s="83" t="s">
        <v>1018</v>
      </c>
      <c r="J20" s="86" t="s">
        <v>145</v>
      </c>
      <c r="K20" s="87">
        <v>0</v>
      </c>
      <c r="L20" s="95">
        <v>46011.416666666664</v>
      </c>
      <c r="M20" s="95">
        <v>46011.416666666664</v>
      </c>
      <c r="N20" s="86" t="s">
        <v>663</v>
      </c>
      <c r="O20" s="96">
        <v>46011</v>
      </c>
      <c r="P20" s="86" t="s">
        <v>886</v>
      </c>
      <c r="Q20" s="86" t="s">
        <v>661</v>
      </c>
      <c r="R20" s="86" t="s">
        <v>146</v>
      </c>
      <c r="S20" s="86" t="s">
        <v>938</v>
      </c>
      <c r="T20" s="86" t="s">
        <v>1024</v>
      </c>
      <c r="U20" s="86" t="s">
        <v>1026</v>
      </c>
      <c r="V20" s="86" t="s">
        <v>111</v>
      </c>
      <c r="W20" s="86" t="s">
        <v>456</v>
      </c>
      <c r="X20" s="87">
        <v>150000</v>
      </c>
      <c r="Y20" s="86" t="s">
        <v>1017</v>
      </c>
      <c r="Z20" s="86" t="s">
        <v>146</v>
      </c>
      <c r="AA20" s="86" t="s">
        <v>146</v>
      </c>
      <c r="AB20" s="77"/>
      <c r="AC20" s="77"/>
      <c r="AD20" s="77"/>
      <c r="AE20" s="77"/>
      <c r="AF20" s="77"/>
    </row>
    <row r="21" spans="1:52" ht="27">
      <c r="A21" s="77"/>
      <c r="B21" s="81" t="s">
        <v>1019</v>
      </c>
      <c r="C21" s="83" t="s">
        <v>1018</v>
      </c>
      <c r="J21" s="86" t="s">
        <v>145</v>
      </c>
      <c r="K21" s="87">
        <v>0</v>
      </c>
      <c r="L21" s="95">
        <v>46011.416666666664</v>
      </c>
      <c r="M21" s="95">
        <v>46011.416666666664</v>
      </c>
      <c r="N21" s="86" t="s">
        <v>665</v>
      </c>
      <c r="O21" s="96">
        <v>46011</v>
      </c>
      <c r="P21" s="86" t="s">
        <v>886</v>
      </c>
      <c r="Q21" s="86" t="s">
        <v>661</v>
      </c>
      <c r="R21" s="86" t="s">
        <v>146</v>
      </c>
      <c r="S21" s="86" t="s">
        <v>463</v>
      </c>
      <c r="T21" s="86" t="s">
        <v>948</v>
      </c>
      <c r="U21" s="86" t="s">
        <v>1026</v>
      </c>
      <c r="V21" s="86" t="s">
        <v>111</v>
      </c>
      <c r="W21" s="86" t="s">
        <v>456</v>
      </c>
      <c r="X21" s="87">
        <v>160000</v>
      </c>
      <c r="Y21" s="86" t="s">
        <v>1017</v>
      </c>
      <c r="Z21" s="86" t="s">
        <v>146</v>
      </c>
      <c r="AA21" s="86" t="s">
        <v>146</v>
      </c>
      <c r="AB21" s="77"/>
      <c r="AC21" s="77"/>
      <c r="AD21" s="77"/>
      <c r="AE21" s="77"/>
      <c r="AF21" s="77"/>
    </row>
    <row r="22" spans="1:52" ht="27">
      <c r="A22" s="77"/>
      <c r="B22" s="81" t="s">
        <v>1019</v>
      </c>
      <c r="C22" s="83" t="s">
        <v>1018</v>
      </c>
      <c r="J22" s="86" t="s">
        <v>145</v>
      </c>
      <c r="K22" s="87">
        <v>0</v>
      </c>
      <c r="L22" s="95">
        <v>46011.416666666664</v>
      </c>
      <c r="M22" s="95">
        <v>46011.416666666664</v>
      </c>
      <c r="N22" s="86" t="s">
        <v>666</v>
      </c>
      <c r="O22" s="96">
        <v>46011</v>
      </c>
      <c r="P22" s="86" t="s">
        <v>886</v>
      </c>
      <c r="Q22" s="86" t="s">
        <v>661</v>
      </c>
      <c r="R22" s="86" t="s">
        <v>260</v>
      </c>
      <c r="S22" s="86" t="s">
        <v>938</v>
      </c>
      <c r="T22" s="86" t="s">
        <v>948</v>
      </c>
      <c r="U22" s="86" t="s">
        <v>1026</v>
      </c>
      <c r="V22" s="86" t="s">
        <v>111</v>
      </c>
      <c r="W22" s="86" t="s">
        <v>456</v>
      </c>
      <c r="X22" s="87">
        <v>170000</v>
      </c>
      <c r="Y22" s="86" t="s">
        <v>1017</v>
      </c>
      <c r="Z22" s="86" t="s">
        <v>146</v>
      </c>
      <c r="AA22" s="86" t="s">
        <v>146</v>
      </c>
      <c r="AB22" s="77"/>
      <c r="AC22" s="77"/>
      <c r="AD22" s="77"/>
      <c r="AE22" s="77"/>
      <c r="AF22" s="77"/>
    </row>
    <row r="23" spans="1:52">
      <c r="A23" s="77"/>
      <c r="B23" s="77"/>
      <c r="C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</row>
    <row r="24" spans="1:52">
      <c r="A24" s="77"/>
      <c r="B24" s="77"/>
      <c r="C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</row>
    <row r="25" spans="1:52">
      <c r="A25" s="77"/>
      <c r="B25" s="77"/>
      <c r="C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AC25" s="77"/>
      <c r="AD25" s="77"/>
      <c r="AE25" s="77"/>
      <c r="AF25" s="77"/>
    </row>
    <row r="26" spans="1:52">
      <c r="A26" s="77"/>
      <c r="B26" s="77"/>
      <c r="C26" s="77"/>
      <c r="D26">
        <v>1</v>
      </c>
      <c r="E26" t="s">
        <v>141</v>
      </c>
      <c r="F26" t="s">
        <v>136</v>
      </c>
      <c r="G26" t="s">
        <v>140</v>
      </c>
      <c r="H26" t="s">
        <v>460</v>
      </c>
      <c r="I26" s="77" t="s">
        <v>461</v>
      </c>
      <c r="J26" s="77"/>
      <c r="K26" s="77"/>
      <c r="L26" s="77"/>
      <c r="M26" s="77"/>
      <c r="N26" s="77"/>
      <c r="O26" s="105" t="s">
        <v>753</v>
      </c>
      <c r="P26" s="105" t="s">
        <v>754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</row>
    <row r="27" spans="1:52" ht="13.15" customHeight="1">
      <c r="A27" s="162"/>
      <c r="B27" s="162"/>
      <c r="C27" s="77"/>
      <c r="I27" s="77"/>
      <c r="J27" s="78" t="s">
        <v>41</v>
      </c>
      <c r="K27" s="78" t="s">
        <v>42</v>
      </c>
      <c r="L27" s="78" t="s">
        <v>43</v>
      </c>
      <c r="M27" s="78" t="s">
        <v>44</v>
      </c>
      <c r="N27" s="78" t="s">
        <v>79</v>
      </c>
      <c r="O27" s="78" t="s">
        <v>426</v>
      </c>
      <c r="P27" s="78" t="s">
        <v>407</v>
      </c>
      <c r="Q27" s="78" t="s">
        <v>427</v>
      </c>
      <c r="R27" s="78" t="s">
        <v>428</v>
      </c>
      <c r="S27" s="78" t="s">
        <v>429</v>
      </c>
      <c r="T27" s="78" t="s">
        <v>46</v>
      </c>
      <c r="U27" s="78" t="s">
        <v>80</v>
      </c>
      <c r="V27" s="78" t="s">
        <v>47</v>
      </c>
      <c r="W27" s="78" t="s">
        <v>81</v>
      </c>
      <c r="X27" s="78" t="s">
        <v>430</v>
      </c>
      <c r="Y27" s="78" t="s">
        <v>431</v>
      </c>
      <c r="Z27" s="78" t="s">
        <v>432</v>
      </c>
      <c r="AA27" s="78" t="s">
        <v>433</v>
      </c>
      <c r="AB27" s="78" t="s">
        <v>434</v>
      </c>
      <c r="AC27" s="78" t="s">
        <v>435</v>
      </c>
      <c r="AD27" s="78" t="s">
        <v>436</v>
      </c>
      <c r="AE27" s="78" t="s">
        <v>437</v>
      </c>
      <c r="AF27" s="78" t="s">
        <v>63</v>
      </c>
      <c r="AG27" s="78" t="s">
        <v>438</v>
      </c>
      <c r="AH27" s="78" t="s">
        <v>50</v>
      </c>
      <c r="AI27" s="78" t="s">
        <v>439</v>
      </c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</row>
    <row r="28" spans="1:52" ht="13.15" customHeight="1">
      <c r="A28" s="77"/>
      <c r="B28" s="79" t="s">
        <v>74</v>
      </c>
      <c r="C28" s="80" t="s">
        <v>325</v>
      </c>
      <c r="I28" s="77"/>
      <c r="J28" s="78" t="s">
        <v>51</v>
      </c>
      <c r="K28" s="78" t="s">
        <v>52</v>
      </c>
      <c r="L28" s="78" t="s">
        <v>53</v>
      </c>
      <c r="M28" s="78" t="s">
        <v>54</v>
      </c>
      <c r="N28" s="78" t="s">
        <v>55</v>
      </c>
      <c r="O28" s="78" t="s">
        <v>413</v>
      </c>
      <c r="P28" s="78" t="s">
        <v>416</v>
      </c>
      <c r="Q28" s="78" t="s">
        <v>440</v>
      </c>
      <c r="R28" s="78" t="s">
        <v>441</v>
      </c>
      <c r="S28" s="78" t="s">
        <v>64</v>
      </c>
      <c r="T28" s="78" t="s">
        <v>56</v>
      </c>
      <c r="U28" s="78" t="s">
        <v>57</v>
      </c>
      <c r="V28" s="78" t="s">
        <v>58</v>
      </c>
      <c r="W28" s="78" t="s">
        <v>59</v>
      </c>
      <c r="X28" s="78" t="s">
        <v>442</v>
      </c>
      <c r="Y28" s="78" t="s">
        <v>443</v>
      </c>
      <c r="Z28" s="78" t="s">
        <v>444</v>
      </c>
      <c r="AA28" s="78" t="s">
        <v>445</v>
      </c>
      <c r="AB28" s="78" t="s">
        <v>446</v>
      </c>
      <c r="AC28" s="78" t="s">
        <v>447</v>
      </c>
      <c r="AD28" s="78" t="s">
        <v>448</v>
      </c>
      <c r="AE28" s="78" t="s">
        <v>449</v>
      </c>
      <c r="AF28" s="78" t="s">
        <v>65</v>
      </c>
      <c r="AG28" s="78" t="s">
        <v>450</v>
      </c>
      <c r="AH28" s="78" t="s">
        <v>62</v>
      </c>
      <c r="AI28" s="78" t="s">
        <v>451</v>
      </c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</row>
    <row r="29" spans="1:52">
      <c r="A29" s="77"/>
      <c r="B29" s="81" t="s">
        <v>899</v>
      </c>
      <c r="C29" s="83">
        <v>1</v>
      </c>
      <c r="J29" s="86" t="s">
        <v>145</v>
      </c>
      <c r="K29" s="87">
        <v>0</v>
      </c>
      <c r="L29" s="95">
        <v>46011.416666666664</v>
      </c>
      <c r="M29" s="95">
        <v>46011.416666666664</v>
      </c>
      <c r="N29" s="86" t="s">
        <v>791</v>
      </c>
      <c r="O29" s="96">
        <v>46011</v>
      </c>
      <c r="P29" s="86" t="s">
        <v>262</v>
      </c>
      <c r="Q29" s="86" t="s">
        <v>890</v>
      </c>
      <c r="R29" s="96">
        <v>46011</v>
      </c>
      <c r="S29" s="86" t="s">
        <v>262</v>
      </c>
      <c r="T29" s="95">
        <v>46011.416666666664</v>
      </c>
      <c r="U29" s="86" t="s">
        <v>791</v>
      </c>
      <c r="V29" s="95">
        <v>46011.458333333336</v>
      </c>
      <c r="W29" s="86" t="s">
        <v>891</v>
      </c>
      <c r="X29" s="87">
        <v>0</v>
      </c>
      <c r="Y29" s="87">
        <v>0</v>
      </c>
      <c r="Z29" s="87">
        <v>0</v>
      </c>
      <c r="AA29" s="86" t="s">
        <v>669</v>
      </c>
      <c r="AB29" s="95">
        <v>46011.4375</v>
      </c>
      <c r="AC29" s="86" t="s">
        <v>791</v>
      </c>
      <c r="AD29" s="89" t="s">
        <v>681</v>
      </c>
      <c r="AE29" s="86" t="s">
        <v>670</v>
      </c>
      <c r="AF29" s="86" t="s">
        <v>669</v>
      </c>
      <c r="AG29" s="86" t="s">
        <v>145</v>
      </c>
      <c r="AH29" s="86" t="s">
        <v>892</v>
      </c>
      <c r="AI29" s="86" t="s">
        <v>146</v>
      </c>
    </row>
    <row r="30" spans="1:52">
      <c r="A30" s="77"/>
      <c r="B30" s="81" t="s">
        <v>1011</v>
      </c>
      <c r="C30" s="83" t="s">
        <v>944</v>
      </c>
      <c r="J30" s="86" t="s">
        <v>145</v>
      </c>
      <c r="K30" s="87">
        <v>0</v>
      </c>
      <c r="L30" s="95">
        <v>46011.416666666664</v>
      </c>
      <c r="M30" s="95">
        <v>46011.416666666664</v>
      </c>
      <c r="N30" s="86" t="s">
        <v>791</v>
      </c>
      <c r="O30" s="96">
        <v>45992</v>
      </c>
      <c r="P30" s="86" t="s">
        <v>262</v>
      </c>
      <c r="Q30" s="86" t="s">
        <v>890</v>
      </c>
      <c r="R30" s="96">
        <v>46011</v>
      </c>
      <c r="S30" s="86" t="s">
        <v>262</v>
      </c>
      <c r="T30" s="95">
        <v>46011.416666666664</v>
      </c>
      <c r="U30" s="86" t="s">
        <v>791</v>
      </c>
      <c r="V30" s="95">
        <v>46011.458333333336</v>
      </c>
      <c r="W30" s="86" t="s">
        <v>891</v>
      </c>
      <c r="X30" s="87">
        <v>0</v>
      </c>
      <c r="Y30" s="87">
        <v>0</v>
      </c>
      <c r="Z30" s="87">
        <v>0</v>
      </c>
      <c r="AA30" s="86" t="s">
        <v>669</v>
      </c>
      <c r="AB30" s="95">
        <v>46011.4375</v>
      </c>
      <c r="AC30" s="86" t="s">
        <v>791</v>
      </c>
      <c r="AD30" s="89" t="s">
        <v>681</v>
      </c>
      <c r="AE30" s="86" t="s">
        <v>670</v>
      </c>
      <c r="AF30" s="86" t="s">
        <v>669</v>
      </c>
      <c r="AG30" s="86" t="s">
        <v>145</v>
      </c>
      <c r="AH30" s="86" t="s">
        <v>892</v>
      </c>
      <c r="AI30" s="86" t="s">
        <v>146</v>
      </c>
    </row>
    <row r="31" spans="1:52">
      <c r="A31" s="77"/>
      <c r="B31" s="81" t="s">
        <v>1010</v>
      </c>
      <c r="C31" s="83" t="s">
        <v>945</v>
      </c>
      <c r="J31" s="86" t="s">
        <v>145</v>
      </c>
      <c r="K31" s="87">
        <v>0</v>
      </c>
      <c r="L31" s="95">
        <v>46011.416666666664</v>
      </c>
      <c r="M31" s="95">
        <v>46011.416666666664</v>
      </c>
      <c r="N31" s="86" t="s">
        <v>791</v>
      </c>
      <c r="O31" s="96">
        <v>46016</v>
      </c>
      <c r="P31" s="86" t="s">
        <v>262</v>
      </c>
      <c r="Q31" s="86" t="s">
        <v>890</v>
      </c>
      <c r="R31" s="96">
        <v>46011</v>
      </c>
      <c r="S31" s="86" t="s">
        <v>262</v>
      </c>
      <c r="T31" s="95">
        <v>46011.416666666664</v>
      </c>
      <c r="U31" s="86" t="s">
        <v>791</v>
      </c>
      <c r="V31" s="95">
        <v>46011.458333333336</v>
      </c>
      <c r="W31" s="86" t="s">
        <v>891</v>
      </c>
      <c r="X31" s="87">
        <v>0</v>
      </c>
      <c r="Y31" s="87">
        <v>0</v>
      </c>
      <c r="Z31" s="87">
        <v>0</v>
      </c>
      <c r="AA31" s="86" t="s">
        <v>669</v>
      </c>
      <c r="AB31" s="95">
        <v>46011.4375</v>
      </c>
      <c r="AC31" s="86" t="s">
        <v>791</v>
      </c>
      <c r="AD31" s="89" t="s">
        <v>681</v>
      </c>
      <c r="AE31" s="86" t="s">
        <v>670</v>
      </c>
      <c r="AF31" s="86" t="s">
        <v>669</v>
      </c>
      <c r="AG31" s="86" t="s">
        <v>145</v>
      </c>
      <c r="AH31" s="86" t="s">
        <v>892</v>
      </c>
      <c r="AI31" s="86" t="s">
        <v>146</v>
      </c>
    </row>
    <row r="32" spans="1:52">
      <c r="A32" s="77"/>
      <c r="B32" s="81" t="s">
        <v>1008</v>
      </c>
      <c r="C32" s="83" t="s">
        <v>946</v>
      </c>
      <c r="J32" s="86" t="s">
        <v>145</v>
      </c>
      <c r="K32" s="87">
        <v>0</v>
      </c>
      <c r="L32" s="95">
        <v>46011.416666666664</v>
      </c>
      <c r="M32" s="95">
        <v>46011.416666666664</v>
      </c>
      <c r="N32" s="86" t="s">
        <v>791</v>
      </c>
      <c r="O32" s="96">
        <v>45991</v>
      </c>
      <c r="P32" s="86" t="s">
        <v>262</v>
      </c>
      <c r="Q32" s="86" t="s">
        <v>890</v>
      </c>
      <c r="R32" s="96">
        <v>46011</v>
      </c>
      <c r="S32" s="86" t="s">
        <v>262</v>
      </c>
      <c r="T32" s="95">
        <v>46011.416666666664</v>
      </c>
      <c r="U32" s="86" t="s">
        <v>791</v>
      </c>
      <c r="V32" s="95">
        <v>46011.458333333336</v>
      </c>
      <c r="W32" s="86" t="s">
        <v>891</v>
      </c>
      <c r="X32" s="87">
        <v>0</v>
      </c>
      <c r="Y32" s="87">
        <v>0</v>
      </c>
      <c r="Z32" s="87">
        <v>0</v>
      </c>
      <c r="AA32" s="86" t="s">
        <v>669</v>
      </c>
      <c r="AB32" s="95">
        <v>46011.4375</v>
      </c>
      <c r="AC32" s="86" t="s">
        <v>791</v>
      </c>
      <c r="AD32" s="89" t="s">
        <v>681</v>
      </c>
      <c r="AE32" s="86" t="s">
        <v>670</v>
      </c>
      <c r="AF32" s="86" t="s">
        <v>669</v>
      </c>
      <c r="AG32" s="86" t="s">
        <v>145</v>
      </c>
      <c r="AH32" s="86" t="s">
        <v>892</v>
      </c>
      <c r="AI32" s="86" t="s">
        <v>146</v>
      </c>
    </row>
    <row r="33" spans="1:35">
      <c r="A33" s="77"/>
      <c r="B33" s="81" t="s">
        <v>1009</v>
      </c>
      <c r="C33" s="83" t="s">
        <v>947</v>
      </c>
      <c r="J33" s="86" t="s">
        <v>145</v>
      </c>
      <c r="K33" s="87">
        <v>0</v>
      </c>
      <c r="L33" s="95">
        <v>46011.416666666664</v>
      </c>
      <c r="M33" s="95">
        <v>46011.416666666664</v>
      </c>
      <c r="N33" s="86" t="s">
        <v>791</v>
      </c>
      <c r="O33" s="96">
        <v>46017</v>
      </c>
      <c r="P33" s="86" t="s">
        <v>262</v>
      </c>
      <c r="Q33" s="86" t="s">
        <v>890</v>
      </c>
      <c r="R33" s="96">
        <v>46011</v>
      </c>
      <c r="S33" s="86" t="s">
        <v>262</v>
      </c>
      <c r="T33" s="95">
        <v>46011.416666666664</v>
      </c>
      <c r="U33" s="86" t="s">
        <v>791</v>
      </c>
      <c r="V33" s="95">
        <v>46011.458333333336</v>
      </c>
      <c r="W33" s="86" t="s">
        <v>891</v>
      </c>
      <c r="X33" s="87">
        <v>0</v>
      </c>
      <c r="Y33" s="87">
        <v>0</v>
      </c>
      <c r="Z33" s="87">
        <v>0</v>
      </c>
      <c r="AA33" s="86" t="s">
        <v>669</v>
      </c>
      <c r="AB33" s="95">
        <v>46011.4375</v>
      </c>
      <c r="AC33" s="86" t="s">
        <v>791</v>
      </c>
      <c r="AD33" s="89" t="s">
        <v>681</v>
      </c>
      <c r="AE33" s="86" t="s">
        <v>670</v>
      </c>
      <c r="AF33" s="86" t="s">
        <v>669</v>
      </c>
      <c r="AG33" s="86" t="s">
        <v>145</v>
      </c>
      <c r="AH33" s="86" t="s">
        <v>892</v>
      </c>
      <c r="AI33" s="86" t="s">
        <v>146</v>
      </c>
    </row>
    <row r="34" spans="1:35">
      <c r="A34" s="77"/>
      <c r="B34" s="81" t="s">
        <v>465</v>
      </c>
      <c r="C34" s="83">
        <v>1</v>
      </c>
      <c r="J34" s="86" t="s">
        <v>145</v>
      </c>
      <c r="K34" s="87">
        <v>0</v>
      </c>
      <c r="L34" s="95">
        <v>46011.416666666664</v>
      </c>
      <c r="M34" s="95">
        <v>46011.416666666664</v>
      </c>
      <c r="N34" s="86" t="s">
        <v>791</v>
      </c>
      <c r="O34" s="96">
        <v>46011</v>
      </c>
      <c r="P34" s="86" t="s">
        <v>463</v>
      </c>
      <c r="Q34" s="86" t="s">
        <v>893</v>
      </c>
      <c r="R34" s="96">
        <v>46011</v>
      </c>
      <c r="S34" s="86" t="s">
        <v>262</v>
      </c>
      <c r="T34" s="95">
        <v>46011.416666666664</v>
      </c>
      <c r="U34" s="86" t="s">
        <v>791</v>
      </c>
      <c r="V34" s="95">
        <v>46011.458333333336</v>
      </c>
      <c r="W34" s="86" t="s">
        <v>891</v>
      </c>
      <c r="X34" s="87">
        <v>0</v>
      </c>
      <c r="Y34" s="87">
        <v>0</v>
      </c>
      <c r="Z34" s="87">
        <v>0</v>
      </c>
      <c r="AA34" s="86" t="s">
        <v>669</v>
      </c>
      <c r="AB34" s="95">
        <v>46011.4375</v>
      </c>
      <c r="AC34" s="86" t="s">
        <v>791</v>
      </c>
      <c r="AD34" s="89" t="s">
        <v>681</v>
      </c>
      <c r="AE34" s="86" t="s">
        <v>670</v>
      </c>
      <c r="AF34" s="86" t="s">
        <v>669</v>
      </c>
      <c r="AG34" s="86" t="s">
        <v>145</v>
      </c>
      <c r="AH34" s="86" t="s">
        <v>894</v>
      </c>
      <c r="AI34" s="86" t="s">
        <v>146</v>
      </c>
    </row>
    <row r="35" spans="1:35">
      <c r="A35" s="77"/>
      <c r="B35" s="81" t="s">
        <v>898</v>
      </c>
      <c r="C35" s="83">
        <v>1</v>
      </c>
      <c r="J35" s="86" t="s">
        <v>145</v>
      </c>
      <c r="K35" s="87">
        <v>0</v>
      </c>
      <c r="L35" s="95">
        <v>46011.416666666664</v>
      </c>
      <c r="M35" s="95">
        <v>46011.416666666664</v>
      </c>
      <c r="N35" s="86" t="s">
        <v>791</v>
      </c>
      <c r="O35" s="96">
        <v>46013</v>
      </c>
      <c r="P35" s="86" t="s">
        <v>886</v>
      </c>
      <c r="Q35" s="86" t="s">
        <v>895</v>
      </c>
      <c r="R35" s="96">
        <v>46012</v>
      </c>
      <c r="S35" s="86" t="s">
        <v>886</v>
      </c>
      <c r="T35" s="95">
        <v>46011.416666666664</v>
      </c>
      <c r="U35" s="86" t="s">
        <v>791</v>
      </c>
      <c r="V35" s="95">
        <v>46011.458333333336</v>
      </c>
      <c r="W35" s="86" t="s">
        <v>891</v>
      </c>
      <c r="X35" s="87">
        <v>0</v>
      </c>
      <c r="Y35" s="87">
        <v>0</v>
      </c>
      <c r="Z35" s="87">
        <v>0</v>
      </c>
      <c r="AA35" s="86" t="s">
        <v>669</v>
      </c>
      <c r="AB35" s="95">
        <v>46011.4375</v>
      </c>
      <c r="AC35" s="86" t="s">
        <v>791</v>
      </c>
      <c r="AD35" s="89" t="s">
        <v>681</v>
      </c>
      <c r="AE35" s="86" t="s">
        <v>670</v>
      </c>
      <c r="AF35" s="86" t="s">
        <v>669</v>
      </c>
      <c r="AG35" s="86" t="s">
        <v>145</v>
      </c>
      <c r="AH35" s="86" t="s">
        <v>896</v>
      </c>
      <c r="AI35" s="86" t="s">
        <v>146</v>
      </c>
    </row>
    <row r="36" spans="1:35">
      <c r="A36" s="77"/>
      <c r="B36" s="81" t="s">
        <v>467</v>
      </c>
      <c r="C36" s="83">
        <v>1</v>
      </c>
      <c r="J36" s="86" t="s">
        <v>456</v>
      </c>
      <c r="K36" s="87">
        <v>0</v>
      </c>
      <c r="L36" s="95">
        <v>46011.416666666664</v>
      </c>
      <c r="M36" s="95">
        <v>46011.416666666664</v>
      </c>
      <c r="N36" s="86" t="s">
        <v>791</v>
      </c>
      <c r="O36" s="96">
        <v>46012</v>
      </c>
      <c r="P36" s="86" t="s">
        <v>886</v>
      </c>
      <c r="Q36" s="86" t="s">
        <v>895</v>
      </c>
      <c r="R36" s="96">
        <v>46012</v>
      </c>
      <c r="S36" s="86" t="s">
        <v>886</v>
      </c>
      <c r="T36" s="95">
        <v>46011.416666666664</v>
      </c>
      <c r="U36" s="86" t="s">
        <v>791</v>
      </c>
      <c r="V36" s="95">
        <v>46011.458333333336</v>
      </c>
      <c r="W36" s="86" t="s">
        <v>891</v>
      </c>
      <c r="X36" s="87">
        <v>0</v>
      </c>
      <c r="Y36" s="87">
        <v>0</v>
      </c>
      <c r="Z36" s="87">
        <v>0</v>
      </c>
      <c r="AA36" s="86" t="s">
        <v>669</v>
      </c>
      <c r="AB36" s="95">
        <v>46011.4375</v>
      </c>
      <c r="AC36" s="86" t="s">
        <v>791</v>
      </c>
      <c r="AD36" s="89" t="s">
        <v>681</v>
      </c>
      <c r="AE36" s="86" t="s">
        <v>670</v>
      </c>
      <c r="AF36" s="86" t="s">
        <v>669</v>
      </c>
      <c r="AG36" s="86" t="s">
        <v>145</v>
      </c>
      <c r="AH36" s="86" t="s">
        <v>896</v>
      </c>
      <c r="AI36" s="86" t="s">
        <v>146</v>
      </c>
    </row>
    <row r="37" spans="1:35">
      <c r="A37" s="77"/>
      <c r="B37" s="81" t="s">
        <v>899</v>
      </c>
      <c r="C37" s="83" t="s">
        <v>1018</v>
      </c>
      <c r="J37" s="86" t="s">
        <v>145</v>
      </c>
      <c r="K37" s="87">
        <v>0</v>
      </c>
      <c r="L37" s="88">
        <v>46156.50506949074</v>
      </c>
      <c r="M37" s="88">
        <v>46156.50506949074</v>
      </c>
      <c r="N37" s="86" t="s">
        <v>700</v>
      </c>
      <c r="O37" s="96">
        <v>46011</v>
      </c>
      <c r="P37" s="86" t="s">
        <v>146</v>
      </c>
      <c r="Q37" s="89" t="s">
        <v>681</v>
      </c>
      <c r="R37" s="89" t="s">
        <v>681</v>
      </c>
      <c r="S37" s="89" t="s">
        <v>681</v>
      </c>
      <c r="T37" s="88">
        <v>46156.50506949074</v>
      </c>
      <c r="U37" s="86" t="s">
        <v>700</v>
      </c>
      <c r="V37" s="89" t="s">
        <v>681</v>
      </c>
      <c r="W37" s="89" t="s">
        <v>681</v>
      </c>
      <c r="X37" s="89" t="s">
        <v>681</v>
      </c>
      <c r="Y37" s="89" t="s">
        <v>681</v>
      </c>
      <c r="Z37" s="89" t="s">
        <v>681</v>
      </c>
      <c r="AA37" s="89" t="s">
        <v>681</v>
      </c>
      <c r="AB37" s="89" t="s">
        <v>681</v>
      </c>
      <c r="AC37" s="89" t="s">
        <v>681</v>
      </c>
      <c r="AD37" s="89" t="s">
        <v>681</v>
      </c>
      <c r="AE37" s="89" t="s">
        <v>681</v>
      </c>
      <c r="AF37" s="89" t="s">
        <v>681</v>
      </c>
      <c r="AG37" s="89" t="s">
        <v>681</v>
      </c>
      <c r="AH37" s="86" t="s">
        <v>701</v>
      </c>
      <c r="AI37" s="89" t="s">
        <v>681</v>
      </c>
    </row>
    <row r="38" spans="1:35">
      <c r="A38" s="77"/>
      <c r="B38" s="81" t="s">
        <v>899</v>
      </c>
      <c r="C38" s="83" t="s">
        <v>1018</v>
      </c>
      <c r="J38" s="86" t="s">
        <v>145</v>
      </c>
      <c r="K38" s="87">
        <v>0</v>
      </c>
      <c r="L38" s="88">
        <v>46156.50506949074</v>
      </c>
      <c r="M38" s="88">
        <v>46156.50506949074</v>
      </c>
      <c r="N38" s="86" t="s">
        <v>700</v>
      </c>
      <c r="O38" s="96">
        <v>46011</v>
      </c>
      <c r="P38" s="86" t="s">
        <v>260</v>
      </c>
      <c r="Q38" s="89" t="s">
        <v>681</v>
      </c>
      <c r="R38" s="89" t="s">
        <v>681</v>
      </c>
      <c r="S38" s="89" t="s">
        <v>681</v>
      </c>
      <c r="T38" s="88">
        <v>46156.50506949074</v>
      </c>
      <c r="U38" s="86" t="s">
        <v>700</v>
      </c>
      <c r="V38" s="89" t="s">
        <v>681</v>
      </c>
      <c r="W38" s="89" t="s">
        <v>681</v>
      </c>
      <c r="X38" s="89" t="s">
        <v>681</v>
      </c>
      <c r="Y38" s="89" t="s">
        <v>681</v>
      </c>
      <c r="Z38" s="89" t="s">
        <v>681</v>
      </c>
      <c r="AA38" s="89" t="s">
        <v>681</v>
      </c>
      <c r="AB38" s="89" t="s">
        <v>681</v>
      </c>
      <c r="AC38" s="89" t="s">
        <v>681</v>
      </c>
      <c r="AD38" s="89" t="s">
        <v>681</v>
      </c>
      <c r="AE38" s="89" t="s">
        <v>681</v>
      </c>
      <c r="AF38" s="89" t="s">
        <v>681</v>
      </c>
      <c r="AG38" s="89" t="s">
        <v>681</v>
      </c>
      <c r="AH38" s="86" t="s">
        <v>702</v>
      </c>
      <c r="AI38" s="89" t="s">
        <v>681</v>
      </c>
    </row>
    <row r="40" spans="1:35">
      <c r="W40" s="64" t="s">
        <v>764</v>
      </c>
    </row>
    <row r="41" spans="1:35">
      <c r="A41" s="77"/>
      <c r="B41" s="77"/>
      <c r="C41" s="77"/>
      <c r="D41">
        <v>1</v>
      </c>
      <c r="E41" t="s">
        <v>141</v>
      </c>
      <c r="F41" t="s">
        <v>136</v>
      </c>
      <c r="G41" t="s">
        <v>140</v>
      </c>
      <c r="H41" t="s">
        <v>464</v>
      </c>
      <c r="I41" s="77" t="s">
        <v>684</v>
      </c>
      <c r="S41" s="104" t="s">
        <v>753</v>
      </c>
      <c r="T41" s="104" t="s">
        <v>754</v>
      </c>
      <c r="U41" s="104" t="s">
        <v>755</v>
      </c>
    </row>
    <row r="42" spans="1:35" ht="14.25">
      <c r="A42" s="77"/>
      <c r="I42" s="77"/>
      <c r="J42" s="78" t="s">
        <v>466</v>
      </c>
      <c r="K42" s="78" t="s">
        <v>42</v>
      </c>
      <c r="L42" s="78" t="s">
        <v>43</v>
      </c>
      <c r="M42" s="78" t="s">
        <v>44</v>
      </c>
      <c r="N42" s="78" t="s">
        <v>79</v>
      </c>
      <c r="O42" s="78" t="s">
        <v>46</v>
      </c>
      <c r="P42" s="78" t="s">
        <v>80</v>
      </c>
      <c r="Q42" s="78" t="s">
        <v>47</v>
      </c>
      <c r="R42" s="78" t="s">
        <v>81</v>
      </c>
      <c r="S42" s="78" t="s">
        <v>263</v>
      </c>
      <c r="T42" s="78" t="s">
        <v>752</v>
      </c>
      <c r="U42" s="78" t="s">
        <v>82</v>
      </c>
      <c r="V42" s="78" t="s">
        <v>83</v>
      </c>
      <c r="W42" s="78" t="s">
        <v>264</v>
      </c>
      <c r="X42" s="78" t="s">
        <v>265</v>
      </c>
      <c r="Y42" s="78" t="s">
        <v>266</v>
      </c>
    </row>
    <row r="43" spans="1:35" ht="14.25">
      <c r="A43" s="77"/>
      <c r="B43" s="79" t="s">
        <v>74</v>
      </c>
      <c r="C43" s="80" t="s">
        <v>325</v>
      </c>
      <c r="J43" s="78" t="s">
        <v>51</v>
      </c>
      <c r="K43" s="78" t="s">
        <v>52</v>
      </c>
      <c r="L43" s="78" t="s">
        <v>53</v>
      </c>
      <c r="M43" s="78" t="s">
        <v>54</v>
      </c>
      <c r="N43" s="78" t="s">
        <v>55</v>
      </c>
      <c r="O43" s="78" t="s">
        <v>56</v>
      </c>
      <c r="P43" s="78" t="s">
        <v>57</v>
      </c>
      <c r="Q43" s="78" t="s">
        <v>58</v>
      </c>
      <c r="R43" s="78" t="s">
        <v>59</v>
      </c>
      <c r="S43" s="78" t="s">
        <v>144</v>
      </c>
      <c r="T43" s="78" t="s">
        <v>751</v>
      </c>
      <c r="U43" s="78" t="s">
        <v>60</v>
      </c>
      <c r="V43" s="78" t="s">
        <v>61</v>
      </c>
      <c r="W43" s="78" t="s">
        <v>462</v>
      </c>
      <c r="X43" s="78" t="s">
        <v>147</v>
      </c>
      <c r="Y43" s="78" t="s">
        <v>148</v>
      </c>
    </row>
    <row r="44" spans="1:35">
      <c r="B44" s="81" t="s">
        <v>951</v>
      </c>
      <c r="C44" s="83">
        <v>1</v>
      </c>
      <c r="J44" s="86" t="s">
        <v>145</v>
      </c>
      <c r="K44" s="87">
        <v>0</v>
      </c>
      <c r="L44" s="88">
        <v>46156.504569363424</v>
      </c>
      <c r="M44" s="88">
        <v>46156.504569363424</v>
      </c>
      <c r="N44" s="86" t="s">
        <v>700</v>
      </c>
      <c r="O44" s="88">
        <v>46156.504569363424</v>
      </c>
      <c r="P44" s="86" t="s">
        <v>700</v>
      </c>
      <c r="Q44" s="88">
        <v>46156.504569363424</v>
      </c>
      <c r="R44" s="86" t="s">
        <v>700</v>
      </c>
      <c r="S44" s="86" t="s">
        <v>733</v>
      </c>
      <c r="T44" s="102" t="s">
        <v>151</v>
      </c>
      <c r="U44" s="87">
        <v>20251201</v>
      </c>
      <c r="V44" s="87">
        <v>20251225</v>
      </c>
      <c r="W44" s="86" t="s">
        <v>902</v>
      </c>
      <c r="X44" s="86" t="s">
        <v>740</v>
      </c>
      <c r="Y44" s="86" t="s">
        <v>741</v>
      </c>
    </row>
    <row r="45" spans="1:35">
      <c r="B45" s="81" t="s">
        <v>950</v>
      </c>
      <c r="C45" s="83">
        <v>1</v>
      </c>
      <c r="J45" s="86" t="s">
        <v>145</v>
      </c>
      <c r="K45" s="87">
        <v>0</v>
      </c>
      <c r="L45" s="88">
        <v>46156.504569363424</v>
      </c>
      <c r="M45" s="88">
        <v>46156.504569363424</v>
      </c>
      <c r="N45" s="86" t="s">
        <v>700</v>
      </c>
      <c r="O45" s="88">
        <v>46156.504569363424</v>
      </c>
      <c r="P45" s="86" t="s">
        <v>700</v>
      </c>
      <c r="Q45" s="88">
        <v>46156.504569363424</v>
      </c>
      <c r="R45" s="86" t="s">
        <v>700</v>
      </c>
      <c r="S45" s="86" t="s">
        <v>733</v>
      </c>
      <c r="T45" s="102" t="s">
        <v>900</v>
      </c>
      <c r="U45" s="87">
        <v>20251201</v>
      </c>
      <c r="V45" s="87">
        <v>20261225</v>
      </c>
      <c r="W45" s="86" t="s">
        <v>903</v>
      </c>
      <c r="X45" s="86" t="s">
        <v>740</v>
      </c>
      <c r="Y45" s="86" t="s">
        <v>741</v>
      </c>
    </row>
    <row r="46" spans="1:35">
      <c r="B46" s="81" t="s">
        <v>952</v>
      </c>
      <c r="C46" s="83">
        <v>1</v>
      </c>
      <c r="J46" s="86" t="s">
        <v>145</v>
      </c>
      <c r="K46" s="87">
        <v>0</v>
      </c>
      <c r="L46" s="88">
        <v>46156.504569363424</v>
      </c>
      <c r="M46" s="88">
        <v>46156.504569363424</v>
      </c>
      <c r="N46" s="86" t="s">
        <v>700</v>
      </c>
      <c r="O46" s="88">
        <v>46156.504569363424</v>
      </c>
      <c r="P46" s="86" t="s">
        <v>700</v>
      </c>
      <c r="Q46" s="88">
        <v>46156.504569363424</v>
      </c>
      <c r="R46" s="86" t="s">
        <v>700</v>
      </c>
      <c r="S46" s="86" t="s">
        <v>733</v>
      </c>
      <c r="T46" s="102" t="s">
        <v>151</v>
      </c>
      <c r="U46" s="87">
        <v>20251226</v>
      </c>
      <c r="V46" s="87">
        <v>20270130</v>
      </c>
      <c r="W46" s="86" t="s">
        <v>911</v>
      </c>
      <c r="X46" s="86" t="s">
        <v>740</v>
      </c>
      <c r="Y46" s="86" t="s">
        <v>741</v>
      </c>
    </row>
    <row r="47" spans="1:35">
      <c r="B47" s="81" t="s">
        <v>959</v>
      </c>
      <c r="C47" s="83">
        <v>1</v>
      </c>
      <c r="J47" s="86" t="s">
        <v>456</v>
      </c>
      <c r="K47" s="87">
        <v>0</v>
      </c>
      <c r="L47" s="88">
        <v>46156.504569363424</v>
      </c>
      <c r="M47" s="88">
        <v>46156.504569363424</v>
      </c>
      <c r="N47" s="86" t="s">
        <v>700</v>
      </c>
      <c r="O47" s="88">
        <v>46156.504569363424</v>
      </c>
      <c r="P47" s="86" t="s">
        <v>700</v>
      </c>
      <c r="Q47" s="88">
        <v>46156.504569363424</v>
      </c>
      <c r="R47" s="86" t="s">
        <v>700</v>
      </c>
      <c r="S47" s="86" t="s">
        <v>733</v>
      </c>
      <c r="T47" s="102" t="s">
        <v>151</v>
      </c>
      <c r="U47" s="87">
        <v>20250101</v>
      </c>
      <c r="V47" s="87">
        <v>20270130</v>
      </c>
      <c r="W47" s="86" t="s">
        <v>912</v>
      </c>
      <c r="X47" s="86" t="s">
        <v>740</v>
      </c>
      <c r="Y47" s="86" t="s">
        <v>741</v>
      </c>
    </row>
    <row r="48" spans="1:35">
      <c r="B48" s="81" t="s">
        <v>929</v>
      </c>
      <c r="C48" s="83">
        <v>1</v>
      </c>
      <c r="J48" s="86" t="s">
        <v>145</v>
      </c>
      <c r="K48" s="87">
        <v>0</v>
      </c>
      <c r="L48" s="88">
        <v>46156.504571840276</v>
      </c>
      <c r="M48" s="88">
        <v>46156.504571840276</v>
      </c>
      <c r="N48" s="86" t="s">
        <v>700</v>
      </c>
      <c r="O48" s="88">
        <v>46156.504571840276</v>
      </c>
      <c r="P48" s="86" t="s">
        <v>700</v>
      </c>
      <c r="Q48" s="88">
        <v>46156.504571840276</v>
      </c>
      <c r="R48" s="86" t="s">
        <v>700</v>
      </c>
      <c r="S48" s="86" t="s">
        <v>742</v>
      </c>
      <c r="T48" s="103" t="s">
        <v>150</v>
      </c>
      <c r="U48" s="87">
        <v>20251201</v>
      </c>
      <c r="V48" s="87">
        <v>20251225</v>
      </c>
      <c r="W48" s="86" t="s">
        <v>905</v>
      </c>
      <c r="X48" s="86" t="s">
        <v>743</v>
      </c>
      <c r="Y48" s="86" t="s">
        <v>744</v>
      </c>
    </row>
    <row r="49" spans="2:25">
      <c r="B49" s="81" t="s">
        <v>930</v>
      </c>
      <c r="C49" s="83">
        <v>1</v>
      </c>
      <c r="J49" s="86" t="s">
        <v>145</v>
      </c>
      <c r="K49" s="87">
        <v>0</v>
      </c>
      <c r="L49" s="88">
        <v>46156.504571840276</v>
      </c>
      <c r="M49" s="88">
        <v>46156.504571840276</v>
      </c>
      <c r="N49" s="86" t="s">
        <v>700</v>
      </c>
      <c r="O49" s="88">
        <v>46156.504571840276</v>
      </c>
      <c r="P49" s="86" t="s">
        <v>700</v>
      </c>
      <c r="Q49" s="88">
        <v>46156.504571840276</v>
      </c>
      <c r="R49" s="86" t="s">
        <v>700</v>
      </c>
      <c r="S49" s="86" t="s">
        <v>742</v>
      </c>
      <c r="T49" s="103" t="s">
        <v>121</v>
      </c>
      <c r="U49" s="87">
        <v>20251201</v>
      </c>
      <c r="V49" s="87">
        <v>20261225</v>
      </c>
      <c r="W49" s="86" t="s">
        <v>906</v>
      </c>
      <c r="X49" s="86" t="s">
        <v>743</v>
      </c>
      <c r="Y49" s="86" t="s">
        <v>744</v>
      </c>
    </row>
    <row r="50" spans="2:25">
      <c r="B50" s="81" t="s">
        <v>953</v>
      </c>
      <c r="C50" s="83">
        <v>1</v>
      </c>
      <c r="J50" s="86" t="s">
        <v>145</v>
      </c>
      <c r="K50" s="87">
        <v>0</v>
      </c>
      <c r="L50" s="88">
        <v>46156.504571840276</v>
      </c>
      <c r="M50" s="88">
        <v>46156.504571840276</v>
      </c>
      <c r="N50" s="86" t="s">
        <v>700</v>
      </c>
      <c r="O50" s="88">
        <v>46156.504571840276</v>
      </c>
      <c r="P50" s="86" t="s">
        <v>700</v>
      </c>
      <c r="Q50" s="88">
        <v>46156.504571840276</v>
      </c>
      <c r="R50" s="86" t="s">
        <v>700</v>
      </c>
      <c r="S50" s="86" t="s">
        <v>742</v>
      </c>
      <c r="T50" s="103" t="s">
        <v>150</v>
      </c>
      <c r="U50" s="87">
        <v>20251226</v>
      </c>
      <c r="V50" s="87">
        <v>20270130</v>
      </c>
      <c r="W50" s="86" t="s">
        <v>908</v>
      </c>
      <c r="X50" s="86" t="s">
        <v>743</v>
      </c>
      <c r="Y50" s="86" t="s">
        <v>744</v>
      </c>
    </row>
    <row r="51" spans="2:25">
      <c r="B51" s="81" t="s">
        <v>931</v>
      </c>
      <c r="C51" s="83">
        <v>1</v>
      </c>
      <c r="J51" s="86" t="s">
        <v>456</v>
      </c>
      <c r="K51" s="87">
        <v>0</v>
      </c>
      <c r="L51" s="88">
        <v>46156.504571840276</v>
      </c>
      <c r="M51" s="88">
        <v>46156.504571840276</v>
      </c>
      <c r="N51" s="86" t="s">
        <v>700</v>
      </c>
      <c r="O51" s="88">
        <v>46156.504571840276</v>
      </c>
      <c r="P51" s="86" t="s">
        <v>700</v>
      </c>
      <c r="Q51" s="88">
        <v>46156.504571840276</v>
      </c>
      <c r="R51" s="86" t="s">
        <v>700</v>
      </c>
      <c r="S51" s="86" t="s">
        <v>742</v>
      </c>
      <c r="T51" s="103" t="s">
        <v>150</v>
      </c>
      <c r="U51" s="87">
        <v>20250101</v>
      </c>
      <c r="V51" s="87">
        <v>20270130</v>
      </c>
      <c r="W51" s="86" t="s">
        <v>909</v>
      </c>
      <c r="X51" s="86" t="s">
        <v>743</v>
      </c>
      <c r="Y51" s="86" t="s">
        <v>744</v>
      </c>
    </row>
    <row r="52" spans="2:25">
      <c r="B52" s="81" t="s">
        <v>1030</v>
      </c>
      <c r="C52" s="83">
        <v>1</v>
      </c>
      <c r="J52" s="86" t="s">
        <v>145</v>
      </c>
      <c r="K52" s="87">
        <v>0</v>
      </c>
      <c r="L52" s="88">
        <v>46156.504574212966</v>
      </c>
      <c r="M52" s="88">
        <v>46156.504574212966</v>
      </c>
      <c r="N52" s="86" t="s">
        <v>700</v>
      </c>
      <c r="O52" s="88">
        <v>46156.504574212966</v>
      </c>
      <c r="P52" s="86" t="s">
        <v>700</v>
      </c>
      <c r="Q52" s="88">
        <v>46156.504574212966</v>
      </c>
      <c r="R52" s="86" t="s">
        <v>700</v>
      </c>
      <c r="S52" s="86" t="s">
        <v>703</v>
      </c>
      <c r="T52" s="100" t="s">
        <v>705</v>
      </c>
      <c r="U52" s="87">
        <v>20251201</v>
      </c>
      <c r="V52" s="87">
        <v>20251225</v>
      </c>
      <c r="W52" s="86" t="s">
        <v>917</v>
      </c>
      <c r="X52" s="86" t="s">
        <v>706</v>
      </c>
      <c r="Y52" s="86" t="s">
        <v>707</v>
      </c>
    </row>
    <row r="53" spans="2:25">
      <c r="B53" s="81" t="s">
        <v>932</v>
      </c>
      <c r="C53" s="83">
        <v>1</v>
      </c>
      <c r="J53" s="86" t="s">
        <v>145</v>
      </c>
      <c r="K53" s="87">
        <v>0</v>
      </c>
      <c r="L53" s="88">
        <v>46156.504574212966</v>
      </c>
      <c r="M53" s="88">
        <v>46156.504574212966</v>
      </c>
      <c r="N53" s="86" t="s">
        <v>700</v>
      </c>
      <c r="O53" s="88">
        <v>46156.504574212966</v>
      </c>
      <c r="P53" s="86" t="s">
        <v>700</v>
      </c>
      <c r="Q53" s="88">
        <v>46156.504574212966</v>
      </c>
      <c r="R53" s="86" t="s">
        <v>700</v>
      </c>
      <c r="S53" s="86" t="s">
        <v>703</v>
      </c>
      <c r="T53" s="100" t="s">
        <v>682</v>
      </c>
      <c r="U53" s="87">
        <v>20251201</v>
      </c>
      <c r="V53" s="87">
        <v>20261225</v>
      </c>
      <c r="W53" s="86" t="s">
        <v>918</v>
      </c>
      <c r="X53" s="86" t="s">
        <v>706</v>
      </c>
      <c r="Y53" s="86" t="s">
        <v>707</v>
      </c>
    </row>
    <row r="54" spans="2:25">
      <c r="B54" s="81" t="s">
        <v>954</v>
      </c>
      <c r="C54" s="83">
        <v>1</v>
      </c>
      <c r="J54" s="86" t="s">
        <v>145</v>
      </c>
      <c r="K54" s="87">
        <v>0</v>
      </c>
      <c r="L54" s="88">
        <v>46156.504574212966</v>
      </c>
      <c r="M54" s="88">
        <v>46156.504574212966</v>
      </c>
      <c r="N54" s="86" t="s">
        <v>700</v>
      </c>
      <c r="O54" s="88">
        <v>46156.504574212966</v>
      </c>
      <c r="P54" s="86" t="s">
        <v>700</v>
      </c>
      <c r="Q54" s="88">
        <v>46156.504574212966</v>
      </c>
      <c r="R54" s="86" t="s">
        <v>700</v>
      </c>
      <c r="S54" s="86" t="s">
        <v>703</v>
      </c>
      <c r="T54" s="100" t="s">
        <v>705</v>
      </c>
      <c r="U54" s="87">
        <v>20251226</v>
      </c>
      <c r="V54" s="87">
        <v>20270130</v>
      </c>
      <c r="W54" s="86" t="s">
        <v>920</v>
      </c>
      <c r="X54" s="86" t="s">
        <v>706</v>
      </c>
      <c r="Y54" s="86" t="s">
        <v>707</v>
      </c>
    </row>
    <row r="55" spans="2:25">
      <c r="B55" s="81" t="s">
        <v>933</v>
      </c>
      <c r="C55" s="83">
        <v>1</v>
      </c>
      <c r="J55" s="86" t="s">
        <v>456</v>
      </c>
      <c r="K55" s="87">
        <v>0</v>
      </c>
      <c r="L55" s="88">
        <v>46156.504574212966</v>
      </c>
      <c r="M55" s="88">
        <v>46156.504574212966</v>
      </c>
      <c r="N55" s="86" t="s">
        <v>700</v>
      </c>
      <c r="O55" s="88">
        <v>46156.504574212966</v>
      </c>
      <c r="P55" s="86" t="s">
        <v>700</v>
      </c>
      <c r="Q55" s="88">
        <v>46156.504574212966</v>
      </c>
      <c r="R55" s="86" t="s">
        <v>700</v>
      </c>
      <c r="S55" s="86" t="s">
        <v>703</v>
      </c>
      <c r="T55" s="100" t="s">
        <v>705</v>
      </c>
      <c r="U55" s="87">
        <v>20250101</v>
      </c>
      <c r="V55" s="87">
        <v>20270130</v>
      </c>
      <c r="W55" s="86" t="s">
        <v>921</v>
      </c>
      <c r="X55" s="86" t="s">
        <v>706</v>
      </c>
      <c r="Y55" s="86" t="s">
        <v>707</v>
      </c>
    </row>
    <row r="56" spans="2:25">
      <c r="B56" s="81" t="s">
        <v>934</v>
      </c>
      <c r="C56" s="83">
        <v>1</v>
      </c>
      <c r="J56" s="86" t="s">
        <v>145</v>
      </c>
      <c r="K56" s="87">
        <v>0</v>
      </c>
      <c r="L56" s="88">
        <v>46156.504576886575</v>
      </c>
      <c r="M56" s="88">
        <v>46156.504576886575</v>
      </c>
      <c r="N56" s="86" t="s">
        <v>700</v>
      </c>
      <c r="O56" s="88">
        <v>46156.504576886575</v>
      </c>
      <c r="P56" s="86" t="s">
        <v>700</v>
      </c>
      <c r="Q56" s="88">
        <v>46156.504576886575</v>
      </c>
      <c r="R56" s="86" t="s">
        <v>700</v>
      </c>
      <c r="S56" s="86" t="s">
        <v>721</v>
      </c>
      <c r="T56" s="101" t="s">
        <v>713</v>
      </c>
      <c r="U56" s="87">
        <v>20251201</v>
      </c>
      <c r="V56" s="87">
        <v>20251225</v>
      </c>
      <c r="W56" s="86" t="s">
        <v>924</v>
      </c>
      <c r="X56" s="86" t="s">
        <v>731</v>
      </c>
      <c r="Y56" s="86" t="s">
        <v>732</v>
      </c>
    </row>
    <row r="57" spans="2:25">
      <c r="B57" s="81" t="s">
        <v>935</v>
      </c>
      <c r="C57" s="83">
        <v>1</v>
      </c>
      <c r="J57" s="86" t="s">
        <v>145</v>
      </c>
      <c r="K57" s="87">
        <v>0</v>
      </c>
      <c r="L57" s="88">
        <v>46156.504576886575</v>
      </c>
      <c r="M57" s="88">
        <v>46156.504576886575</v>
      </c>
      <c r="N57" s="86" t="s">
        <v>700</v>
      </c>
      <c r="O57" s="88">
        <v>46156.504576886575</v>
      </c>
      <c r="P57" s="86" t="s">
        <v>700</v>
      </c>
      <c r="Q57" s="88">
        <v>46156.504576886575</v>
      </c>
      <c r="R57" s="86" t="s">
        <v>700</v>
      </c>
      <c r="S57" s="86" t="s">
        <v>721</v>
      </c>
      <c r="T57" s="101" t="s">
        <v>922</v>
      </c>
      <c r="U57" s="87">
        <v>20251201</v>
      </c>
      <c r="V57" s="87">
        <v>20261225</v>
      </c>
      <c r="W57" s="86" t="s">
        <v>925</v>
      </c>
      <c r="X57" s="86" t="s">
        <v>731</v>
      </c>
      <c r="Y57" s="86" t="s">
        <v>732</v>
      </c>
    </row>
    <row r="58" spans="2:25">
      <c r="B58" s="81" t="s">
        <v>955</v>
      </c>
      <c r="C58" s="83">
        <v>1</v>
      </c>
      <c r="J58" s="86" t="s">
        <v>145</v>
      </c>
      <c r="K58" s="87">
        <v>0</v>
      </c>
      <c r="L58" s="88">
        <v>46156.504576886575</v>
      </c>
      <c r="M58" s="88">
        <v>46156.504576886575</v>
      </c>
      <c r="N58" s="86" t="s">
        <v>700</v>
      </c>
      <c r="O58" s="88">
        <v>46156.504576886575</v>
      </c>
      <c r="P58" s="86" t="s">
        <v>700</v>
      </c>
      <c r="Q58" s="88">
        <v>46156.504576886575</v>
      </c>
      <c r="R58" s="86" t="s">
        <v>700</v>
      </c>
      <c r="S58" s="86" t="s">
        <v>721</v>
      </c>
      <c r="T58" s="101" t="s">
        <v>713</v>
      </c>
      <c r="U58" s="87">
        <v>20251226</v>
      </c>
      <c r="V58" s="87">
        <v>20270130</v>
      </c>
      <c r="W58" s="86" t="s">
        <v>927</v>
      </c>
      <c r="X58" s="86" t="s">
        <v>731</v>
      </c>
      <c r="Y58" s="86" t="s">
        <v>732</v>
      </c>
    </row>
    <row r="59" spans="2:25">
      <c r="B59" s="81" t="s">
        <v>956</v>
      </c>
      <c r="C59" s="83">
        <v>1</v>
      </c>
      <c r="J59" s="86" t="s">
        <v>456</v>
      </c>
      <c r="K59" s="87">
        <v>0</v>
      </c>
      <c r="L59" s="88">
        <v>46156.504576886575</v>
      </c>
      <c r="M59" s="88">
        <v>46156.504576886575</v>
      </c>
      <c r="N59" s="86" t="s">
        <v>700</v>
      </c>
      <c r="O59" s="88">
        <v>46156.504576886575</v>
      </c>
      <c r="P59" s="86" t="s">
        <v>700</v>
      </c>
      <c r="Q59" s="88">
        <v>46156.504576886575</v>
      </c>
      <c r="R59" s="86" t="s">
        <v>700</v>
      </c>
      <c r="S59" s="86" t="s">
        <v>721</v>
      </c>
      <c r="T59" s="101" t="s">
        <v>713</v>
      </c>
      <c r="U59" s="87">
        <v>20250101</v>
      </c>
      <c r="V59" s="87">
        <v>20270130</v>
      </c>
      <c r="W59" s="86" t="s">
        <v>928</v>
      </c>
      <c r="X59" s="86" t="s">
        <v>731</v>
      </c>
      <c r="Y59" s="86" t="s">
        <v>732</v>
      </c>
    </row>
    <row r="60" spans="2:25">
      <c r="B60" s="81" t="s">
        <v>1028</v>
      </c>
      <c r="C60" s="83" t="s">
        <v>1018</v>
      </c>
      <c r="J60" s="86" t="s">
        <v>145</v>
      </c>
      <c r="K60" s="87">
        <v>0</v>
      </c>
      <c r="L60" s="88">
        <v>46156.504569363424</v>
      </c>
      <c r="M60" s="88">
        <v>46156.504569363424</v>
      </c>
      <c r="N60" s="86" t="s">
        <v>700</v>
      </c>
      <c r="O60" s="88">
        <v>46156.504569363424</v>
      </c>
      <c r="P60" s="86" t="s">
        <v>700</v>
      </c>
      <c r="Q60" s="88">
        <v>46156.504569363424</v>
      </c>
      <c r="R60" s="86" t="s">
        <v>700</v>
      </c>
      <c r="S60" s="86" t="s">
        <v>733</v>
      </c>
      <c r="T60" s="102" t="s">
        <v>149</v>
      </c>
      <c r="U60" s="87">
        <v>20250101</v>
      </c>
      <c r="V60" s="87">
        <v>99991231</v>
      </c>
      <c r="W60" s="86" t="s">
        <v>734</v>
      </c>
      <c r="X60" s="86" t="s">
        <v>735</v>
      </c>
      <c r="Y60" s="86" t="s">
        <v>736</v>
      </c>
    </row>
    <row r="61" spans="2:25">
      <c r="B61" s="81" t="s">
        <v>1028</v>
      </c>
      <c r="C61" s="83" t="s">
        <v>1018</v>
      </c>
      <c r="J61" s="86" t="s">
        <v>145</v>
      </c>
      <c r="K61" s="87">
        <v>0</v>
      </c>
      <c r="L61" s="88">
        <v>46156.504569363424</v>
      </c>
      <c r="M61" s="88">
        <v>46156.504569363424</v>
      </c>
      <c r="N61" s="86" t="s">
        <v>700</v>
      </c>
      <c r="O61" s="88">
        <v>46156.504569363424</v>
      </c>
      <c r="P61" s="86" t="s">
        <v>700</v>
      </c>
      <c r="Q61" s="88">
        <v>46156.504569363424</v>
      </c>
      <c r="R61" s="86" t="s">
        <v>700</v>
      </c>
      <c r="S61" s="86" t="s">
        <v>733</v>
      </c>
      <c r="T61" s="102" t="s">
        <v>150</v>
      </c>
      <c r="U61" s="87">
        <v>20250101</v>
      </c>
      <c r="V61" s="87">
        <v>99991231</v>
      </c>
      <c r="W61" s="86" t="s">
        <v>737</v>
      </c>
      <c r="X61" s="86" t="s">
        <v>738</v>
      </c>
      <c r="Y61" s="86" t="s">
        <v>739</v>
      </c>
    </row>
    <row r="62" spans="2:25">
      <c r="B62" s="81" t="s">
        <v>1029</v>
      </c>
      <c r="C62" s="83" t="s">
        <v>1018</v>
      </c>
      <c r="J62" s="86" t="s">
        <v>145</v>
      </c>
      <c r="K62" s="87">
        <v>0</v>
      </c>
      <c r="L62" s="88">
        <v>46156.504571840276</v>
      </c>
      <c r="M62" s="88">
        <v>46156.504571840276</v>
      </c>
      <c r="N62" s="86" t="s">
        <v>700</v>
      </c>
      <c r="O62" s="88">
        <v>46156.504571840276</v>
      </c>
      <c r="P62" s="86" t="s">
        <v>700</v>
      </c>
      <c r="Q62" s="88">
        <v>46156.504571840276</v>
      </c>
      <c r="R62" s="86" t="s">
        <v>700</v>
      </c>
      <c r="S62" s="86" t="s">
        <v>742</v>
      </c>
      <c r="T62" s="103" t="s">
        <v>152</v>
      </c>
      <c r="U62" s="87">
        <v>20250101</v>
      </c>
      <c r="V62" s="87">
        <v>99991231</v>
      </c>
      <c r="W62" s="86" t="s">
        <v>745</v>
      </c>
      <c r="X62" s="86" t="s">
        <v>746</v>
      </c>
      <c r="Y62" s="86" t="s">
        <v>747</v>
      </c>
    </row>
    <row r="63" spans="2:25">
      <c r="B63" s="81" t="s">
        <v>1029</v>
      </c>
      <c r="C63" s="83" t="s">
        <v>1018</v>
      </c>
      <c r="J63" s="86" t="s">
        <v>145</v>
      </c>
      <c r="K63" s="87">
        <v>0</v>
      </c>
      <c r="L63" s="88">
        <v>46156.504571840276</v>
      </c>
      <c r="M63" s="88">
        <v>46156.504571840276</v>
      </c>
      <c r="N63" s="86" t="s">
        <v>700</v>
      </c>
      <c r="O63" s="88">
        <v>46156.504571840276</v>
      </c>
      <c r="P63" s="86" t="s">
        <v>700</v>
      </c>
      <c r="Q63" s="88">
        <v>46156.504571840276</v>
      </c>
      <c r="R63" s="86" t="s">
        <v>700</v>
      </c>
      <c r="S63" s="86" t="s">
        <v>742</v>
      </c>
      <c r="T63" s="103" t="s">
        <v>153</v>
      </c>
      <c r="U63" s="87">
        <v>20250101</v>
      </c>
      <c r="V63" s="87">
        <v>99991231</v>
      </c>
      <c r="W63" s="86" t="s">
        <v>748</v>
      </c>
      <c r="X63" s="86" t="s">
        <v>749</v>
      </c>
      <c r="Y63" s="86" t="s">
        <v>750</v>
      </c>
    </row>
    <row r="64" spans="2:25">
      <c r="B64" s="81" t="s">
        <v>1032</v>
      </c>
      <c r="C64" s="83" t="s">
        <v>1018</v>
      </c>
      <c r="J64" s="86" t="s">
        <v>145</v>
      </c>
      <c r="K64" s="87">
        <v>0</v>
      </c>
      <c r="L64" s="88">
        <v>46156.504574212966</v>
      </c>
      <c r="M64" s="88">
        <v>46156.504574212966</v>
      </c>
      <c r="N64" s="86" t="s">
        <v>700</v>
      </c>
      <c r="O64" s="88">
        <v>46156.504574212966</v>
      </c>
      <c r="P64" s="86" t="s">
        <v>700</v>
      </c>
      <c r="Q64" s="88">
        <v>46156.504574212966</v>
      </c>
      <c r="R64" s="86" t="s">
        <v>700</v>
      </c>
      <c r="S64" s="86" t="s">
        <v>703</v>
      </c>
      <c r="T64" s="100" t="s">
        <v>709</v>
      </c>
      <c r="U64" s="87">
        <v>20250101</v>
      </c>
      <c r="V64" s="87">
        <v>99991231</v>
      </c>
      <c r="W64" s="86" t="s">
        <v>710</v>
      </c>
      <c r="X64" s="86" t="s">
        <v>711</v>
      </c>
      <c r="Y64" s="86" t="s">
        <v>712</v>
      </c>
    </row>
    <row r="65" spans="2:53">
      <c r="B65" s="81" t="s">
        <v>1032</v>
      </c>
      <c r="C65" s="83" t="s">
        <v>1018</v>
      </c>
      <c r="J65" s="86" t="s">
        <v>145</v>
      </c>
      <c r="K65" s="87">
        <v>0</v>
      </c>
      <c r="L65" s="88">
        <v>46156.504574212966</v>
      </c>
      <c r="M65" s="88">
        <v>46156.504574212966</v>
      </c>
      <c r="N65" s="86" t="s">
        <v>700</v>
      </c>
      <c r="O65" s="88">
        <v>46156.504574212966</v>
      </c>
      <c r="P65" s="86" t="s">
        <v>700</v>
      </c>
      <c r="Q65" s="88">
        <v>46156.504574212966</v>
      </c>
      <c r="R65" s="86" t="s">
        <v>700</v>
      </c>
      <c r="S65" s="86" t="s">
        <v>703</v>
      </c>
      <c r="T65" s="100" t="s">
        <v>713</v>
      </c>
      <c r="U65" s="87">
        <v>20250101</v>
      </c>
      <c r="V65" s="87">
        <v>99991231</v>
      </c>
      <c r="W65" s="86" t="s">
        <v>714</v>
      </c>
      <c r="X65" s="86" t="s">
        <v>715</v>
      </c>
      <c r="Y65" s="86" t="s">
        <v>716</v>
      </c>
    </row>
    <row r="66" spans="2:53">
      <c r="B66" s="81" t="s">
        <v>1032</v>
      </c>
      <c r="C66" s="83" t="s">
        <v>1018</v>
      </c>
      <c r="J66" s="86" t="s">
        <v>145</v>
      </c>
      <c r="K66" s="87">
        <v>0</v>
      </c>
      <c r="L66" s="88">
        <v>46156.504574212966</v>
      </c>
      <c r="M66" s="88">
        <v>46156.504574212966</v>
      </c>
      <c r="N66" s="86" t="s">
        <v>700</v>
      </c>
      <c r="O66" s="88">
        <v>46156.504574212966</v>
      </c>
      <c r="P66" s="86" t="s">
        <v>700</v>
      </c>
      <c r="Q66" s="88">
        <v>46156.504574212966</v>
      </c>
      <c r="R66" s="86" t="s">
        <v>700</v>
      </c>
      <c r="S66" s="86" t="s">
        <v>703</v>
      </c>
      <c r="T66" s="100" t="s">
        <v>717</v>
      </c>
      <c r="U66" s="87">
        <v>20250101</v>
      </c>
      <c r="V66" s="87">
        <v>99991231</v>
      </c>
      <c r="W66" s="86" t="s">
        <v>718</v>
      </c>
      <c r="X66" s="86" t="s">
        <v>719</v>
      </c>
      <c r="Y66" s="86" t="s">
        <v>720</v>
      </c>
    </row>
    <row r="67" spans="2:53">
      <c r="B67" s="81" t="s">
        <v>1033</v>
      </c>
      <c r="C67" s="83" t="s">
        <v>1018</v>
      </c>
      <c r="J67" s="86" t="s">
        <v>145</v>
      </c>
      <c r="K67" s="87">
        <v>0</v>
      </c>
      <c r="L67" s="88">
        <v>46156.504576886575</v>
      </c>
      <c r="M67" s="88">
        <v>46156.504576886575</v>
      </c>
      <c r="N67" s="86" t="s">
        <v>700</v>
      </c>
      <c r="O67" s="88">
        <v>46156.504576886575</v>
      </c>
      <c r="P67" s="86" t="s">
        <v>700</v>
      </c>
      <c r="Q67" s="88">
        <v>46156.504576886575</v>
      </c>
      <c r="R67" s="86" t="s">
        <v>700</v>
      </c>
      <c r="S67" s="86" t="s">
        <v>721</v>
      </c>
      <c r="T67" s="101" t="s">
        <v>704</v>
      </c>
      <c r="U67" s="87">
        <v>20250101</v>
      </c>
      <c r="V67" s="87">
        <v>99991231</v>
      </c>
      <c r="W67" s="86" t="s">
        <v>722</v>
      </c>
      <c r="X67" s="86" t="s">
        <v>723</v>
      </c>
      <c r="Y67" s="86" t="s">
        <v>724</v>
      </c>
    </row>
    <row r="68" spans="2:53">
      <c r="B68" s="81" t="s">
        <v>1033</v>
      </c>
      <c r="C68" s="83" t="s">
        <v>1018</v>
      </c>
      <c r="J68" s="86" t="s">
        <v>145</v>
      </c>
      <c r="K68" s="87">
        <v>0</v>
      </c>
      <c r="L68" s="88">
        <v>46156.504576886575</v>
      </c>
      <c r="M68" s="88">
        <v>46156.504576886575</v>
      </c>
      <c r="N68" s="86" t="s">
        <v>700</v>
      </c>
      <c r="O68" s="88">
        <v>46156.504576886575</v>
      </c>
      <c r="P68" s="86" t="s">
        <v>700</v>
      </c>
      <c r="Q68" s="88">
        <v>46156.504576886575</v>
      </c>
      <c r="R68" s="86" t="s">
        <v>700</v>
      </c>
      <c r="S68" s="86" t="s">
        <v>721</v>
      </c>
      <c r="T68" s="101" t="s">
        <v>705</v>
      </c>
      <c r="U68" s="87">
        <v>20250101</v>
      </c>
      <c r="V68" s="87">
        <v>99991231</v>
      </c>
      <c r="W68" s="86" t="s">
        <v>725</v>
      </c>
      <c r="X68" s="86" t="s">
        <v>726</v>
      </c>
      <c r="Y68" s="86" t="s">
        <v>727</v>
      </c>
    </row>
    <row r="69" spans="2:53">
      <c r="B69" s="81" t="s">
        <v>1033</v>
      </c>
      <c r="C69" s="83" t="s">
        <v>1018</v>
      </c>
      <c r="J69" s="86" t="s">
        <v>145</v>
      </c>
      <c r="K69" s="87">
        <v>0</v>
      </c>
      <c r="L69" s="88">
        <v>46156.504576886575</v>
      </c>
      <c r="M69" s="88">
        <v>46156.504576886575</v>
      </c>
      <c r="N69" s="86" t="s">
        <v>700</v>
      </c>
      <c r="O69" s="88">
        <v>46156.504576886575</v>
      </c>
      <c r="P69" s="86" t="s">
        <v>700</v>
      </c>
      <c r="Q69" s="88">
        <v>46156.504576886575</v>
      </c>
      <c r="R69" s="86" t="s">
        <v>700</v>
      </c>
      <c r="S69" s="86" t="s">
        <v>721</v>
      </c>
      <c r="T69" s="101" t="s">
        <v>708</v>
      </c>
      <c r="U69" s="87">
        <v>20250101</v>
      </c>
      <c r="V69" s="87">
        <v>99991231</v>
      </c>
      <c r="W69" s="86" t="s">
        <v>728</v>
      </c>
      <c r="X69" s="86" t="s">
        <v>729</v>
      </c>
      <c r="Y69" s="86" t="s">
        <v>730</v>
      </c>
    </row>
    <row r="72" spans="2:53">
      <c r="V72" s="64" t="s">
        <v>790</v>
      </c>
      <c r="X72" s="64" t="s">
        <v>772</v>
      </c>
      <c r="Y72" s="64" t="s">
        <v>773</v>
      </c>
    </row>
    <row r="73" spans="2:53">
      <c r="D73">
        <v>1</v>
      </c>
      <c r="E73" t="s">
        <v>141</v>
      </c>
      <c r="F73" t="s">
        <v>136</v>
      </c>
      <c r="G73" t="s">
        <v>140</v>
      </c>
      <c r="H73" t="s">
        <v>615</v>
      </c>
      <c r="I73" s="77" t="s">
        <v>656</v>
      </c>
      <c r="O73" s="104" t="s">
        <v>753</v>
      </c>
      <c r="P73" s="104"/>
      <c r="Q73" s="104"/>
      <c r="R73" s="104"/>
      <c r="S73" s="104" t="s">
        <v>754</v>
      </c>
      <c r="T73" s="104" t="s">
        <v>755</v>
      </c>
    </row>
    <row r="74" spans="2:53" ht="14.25">
      <c r="J74" s="78" t="s">
        <v>41</v>
      </c>
      <c r="K74" s="78" t="s">
        <v>42</v>
      </c>
      <c r="L74" s="78" t="s">
        <v>43</v>
      </c>
      <c r="M74" s="78" t="s">
        <v>44</v>
      </c>
      <c r="N74" s="78" t="s">
        <v>79</v>
      </c>
      <c r="O74" s="78" t="s">
        <v>541</v>
      </c>
      <c r="P74" s="78" t="s">
        <v>542</v>
      </c>
      <c r="Q74" s="78" t="s">
        <v>543</v>
      </c>
      <c r="R74" s="78" t="s">
        <v>544</v>
      </c>
      <c r="S74" s="78" t="s">
        <v>545</v>
      </c>
      <c r="T74" s="78" t="s">
        <v>48</v>
      </c>
      <c r="U74" s="78" t="s">
        <v>49</v>
      </c>
      <c r="V74" s="78" t="s">
        <v>546</v>
      </c>
      <c r="W74" s="78" t="s">
        <v>547</v>
      </c>
      <c r="X74" s="78" t="s">
        <v>548</v>
      </c>
      <c r="Y74" s="78" t="s">
        <v>549</v>
      </c>
      <c r="Z74" s="78" t="s">
        <v>550</v>
      </c>
      <c r="AA74" s="78" t="s">
        <v>551</v>
      </c>
      <c r="AB74" s="78" t="s">
        <v>552</v>
      </c>
      <c r="AC74" s="78" t="s">
        <v>553</v>
      </c>
      <c r="AD74" s="78" t="s">
        <v>554</v>
      </c>
      <c r="AE74" s="78" t="s">
        <v>555</v>
      </c>
      <c r="AF74" s="78" t="s">
        <v>556</v>
      </c>
      <c r="AG74" s="78" t="s">
        <v>557</v>
      </c>
      <c r="AH74" s="78" t="s">
        <v>558</v>
      </c>
      <c r="AI74" s="78" t="s">
        <v>559</v>
      </c>
      <c r="AJ74" s="78" t="s">
        <v>560</v>
      </c>
      <c r="AK74" s="78" t="s">
        <v>561</v>
      </c>
      <c r="AL74" s="78" t="s">
        <v>562</v>
      </c>
      <c r="AM74" s="78" t="s">
        <v>563</v>
      </c>
      <c r="AN74" s="78" t="s">
        <v>564</v>
      </c>
      <c r="AO74" s="78" t="s">
        <v>565</v>
      </c>
      <c r="AP74" s="78" t="s">
        <v>566</v>
      </c>
      <c r="AQ74" s="78" t="s">
        <v>567</v>
      </c>
      <c r="AR74" s="78" t="s">
        <v>568</v>
      </c>
      <c r="AS74" s="78" t="s">
        <v>569</v>
      </c>
      <c r="AT74" s="78" t="s">
        <v>570</v>
      </c>
      <c r="AU74" s="78" t="s">
        <v>571</v>
      </c>
      <c r="AV74" s="78" t="s">
        <v>572</v>
      </c>
      <c r="AW74" s="78" t="s">
        <v>573</v>
      </c>
      <c r="AX74" s="78" t="s">
        <v>574</v>
      </c>
      <c r="AY74" s="78" t="s">
        <v>575</v>
      </c>
      <c r="AZ74" s="78" t="s">
        <v>576</v>
      </c>
      <c r="BA74" s="78" t="s">
        <v>577</v>
      </c>
    </row>
    <row r="75" spans="2:53" ht="14.25">
      <c r="B75" s="79" t="s">
        <v>74</v>
      </c>
      <c r="C75" s="80" t="s">
        <v>325</v>
      </c>
      <c r="J75" s="78" t="s">
        <v>51</v>
      </c>
      <c r="K75" s="78" t="s">
        <v>52</v>
      </c>
      <c r="L75" s="78" t="s">
        <v>53</v>
      </c>
      <c r="M75" s="78" t="s">
        <v>54</v>
      </c>
      <c r="N75" s="78" t="s">
        <v>55</v>
      </c>
      <c r="O75" s="78" t="s">
        <v>578</v>
      </c>
      <c r="P75" s="78" t="s">
        <v>579</v>
      </c>
      <c r="Q75" s="78" t="s">
        <v>580</v>
      </c>
      <c r="R75" s="78" t="s">
        <v>581</v>
      </c>
      <c r="S75" s="78" t="s">
        <v>582</v>
      </c>
      <c r="T75" s="78" t="s">
        <v>60</v>
      </c>
      <c r="U75" s="78" t="s">
        <v>61</v>
      </c>
      <c r="V75" s="78" t="s">
        <v>583</v>
      </c>
      <c r="W75" s="78" t="s">
        <v>584</v>
      </c>
      <c r="X75" s="78" t="s">
        <v>585</v>
      </c>
      <c r="Y75" s="78" t="s">
        <v>586</v>
      </c>
      <c r="Z75" s="78" t="s">
        <v>587</v>
      </c>
      <c r="AA75" s="78" t="s">
        <v>588</v>
      </c>
      <c r="AB75" s="78" t="s">
        <v>589</v>
      </c>
      <c r="AC75" s="78" t="s">
        <v>590</v>
      </c>
      <c r="AD75" s="78" t="s">
        <v>591</v>
      </c>
      <c r="AE75" s="78" t="s">
        <v>592</v>
      </c>
      <c r="AF75" s="78" t="s">
        <v>593</v>
      </c>
      <c r="AG75" s="78" t="s">
        <v>594</v>
      </c>
      <c r="AH75" s="78" t="s">
        <v>595</v>
      </c>
      <c r="AI75" s="78" t="s">
        <v>596</v>
      </c>
      <c r="AJ75" s="78" t="s">
        <v>597</v>
      </c>
      <c r="AK75" s="78" t="s">
        <v>598</v>
      </c>
      <c r="AL75" s="78" t="s">
        <v>599</v>
      </c>
      <c r="AM75" s="78" t="s">
        <v>600</v>
      </c>
      <c r="AN75" s="78" t="s">
        <v>601</v>
      </c>
      <c r="AO75" s="78" t="s">
        <v>602</v>
      </c>
      <c r="AP75" s="78" t="s">
        <v>603</v>
      </c>
      <c r="AQ75" s="78" t="s">
        <v>604</v>
      </c>
      <c r="AR75" s="78" t="s">
        <v>605</v>
      </c>
      <c r="AS75" s="78" t="s">
        <v>606</v>
      </c>
      <c r="AT75" s="78" t="s">
        <v>607</v>
      </c>
      <c r="AU75" s="78" t="s">
        <v>608</v>
      </c>
      <c r="AV75" s="78" t="s">
        <v>609</v>
      </c>
      <c r="AW75" s="78" t="s">
        <v>610</v>
      </c>
      <c r="AX75" s="78" t="s">
        <v>611</v>
      </c>
      <c r="AY75" s="78" t="s">
        <v>612</v>
      </c>
      <c r="AZ75" s="78" t="s">
        <v>613</v>
      </c>
      <c r="BA75" s="78" t="s">
        <v>614</v>
      </c>
    </row>
    <row r="76" spans="2:53">
      <c r="B76" s="92" t="s">
        <v>957</v>
      </c>
      <c r="C76" s="83">
        <v>1</v>
      </c>
      <c r="J76" s="86" t="s">
        <v>145</v>
      </c>
      <c r="K76" s="87">
        <v>0</v>
      </c>
      <c r="L76" s="88">
        <v>46156.587639409721</v>
      </c>
      <c r="M76" s="88">
        <v>46156.587639409721</v>
      </c>
      <c r="N76" s="86" t="s">
        <v>700</v>
      </c>
      <c r="O76" s="86" t="s">
        <v>776</v>
      </c>
      <c r="P76" s="86" t="s">
        <v>777</v>
      </c>
      <c r="Q76" s="87">
        <v>4</v>
      </c>
      <c r="R76" s="89" t="s">
        <v>681</v>
      </c>
      <c r="S76" s="86" t="s">
        <v>668</v>
      </c>
      <c r="T76" s="87">
        <v>20251201</v>
      </c>
      <c r="U76" s="87">
        <v>20251225</v>
      </c>
      <c r="V76" s="86" t="s">
        <v>963</v>
      </c>
      <c r="W76" s="86" t="s">
        <v>781</v>
      </c>
      <c r="X76" s="89" t="s">
        <v>681</v>
      </c>
      <c r="Y76" s="89" t="s">
        <v>681</v>
      </c>
      <c r="Z76" s="89" t="s">
        <v>681</v>
      </c>
      <c r="AA76" s="89" t="s">
        <v>681</v>
      </c>
      <c r="AB76" s="89" t="s">
        <v>681</v>
      </c>
      <c r="AC76" s="89" t="s">
        <v>681</v>
      </c>
      <c r="AD76" s="89" t="s">
        <v>681</v>
      </c>
      <c r="AE76" s="89" t="s">
        <v>681</v>
      </c>
      <c r="AF76" s="89" t="s">
        <v>681</v>
      </c>
      <c r="AG76" s="89" t="s">
        <v>681</v>
      </c>
      <c r="AH76" s="89" t="s">
        <v>681</v>
      </c>
      <c r="AI76" s="89" t="s">
        <v>681</v>
      </c>
      <c r="AJ76" s="89" t="s">
        <v>681</v>
      </c>
      <c r="AK76" s="89" t="s">
        <v>681</v>
      </c>
      <c r="AL76" s="89" t="s">
        <v>681</v>
      </c>
      <c r="AM76" s="89" t="s">
        <v>681</v>
      </c>
      <c r="AN76" s="89" t="s">
        <v>681</v>
      </c>
      <c r="AO76" s="89" t="s">
        <v>681</v>
      </c>
      <c r="AP76" s="89" t="s">
        <v>681</v>
      </c>
      <c r="AQ76" s="89" t="s">
        <v>681</v>
      </c>
      <c r="AR76" s="89" t="s">
        <v>681</v>
      </c>
      <c r="AS76" s="89" t="s">
        <v>681</v>
      </c>
      <c r="AT76" s="89" t="s">
        <v>681</v>
      </c>
      <c r="AU76" s="89" t="s">
        <v>681</v>
      </c>
      <c r="AV76" s="89" t="s">
        <v>681</v>
      </c>
      <c r="AW76" s="89" t="s">
        <v>681</v>
      </c>
      <c r="AX76" s="89" t="s">
        <v>681</v>
      </c>
      <c r="AY76" s="89" t="s">
        <v>681</v>
      </c>
      <c r="AZ76" s="89" t="s">
        <v>681</v>
      </c>
      <c r="BA76" s="89" t="s">
        <v>681</v>
      </c>
    </row>
    <row r="77" spans="2:53">
      <c r="B77" s="92" t="s">
        <v>961</v>
      </c>
      <c r="C77" s="83">
        <v>1</v>
      </c>
      <c r="J77" s="86" t="s">
        <v>145</v>
      </c>
      <c r="K77" s="87">
        <v>0</v>
      </c>
      <c r="L77" s="88">
        <v>46156.587639409721</v>
      </c>
      <c r="M77" s="88">
        <v>46156.587639409721</v>
      </c>
      <c r="N77" s="86" t="s">
        <v>700</v>
      </c>
      <c r="O77" s="86" t="s">
        <v>776</v>
      </c>
      <c r="P77" s="86" t="s">
        <v>777</v>
      </c>
      <c r="Q77" s="87">
        <v>4</v>
      </c>
      <c r="R77" s="89" t="s">
        <v>681</v>
      </c>
      <c r="S77" s="86" t="s">
        <v>968</v>
      </c>
      <c r="T77" s="87">
        <v>20251201</v>
      </c>
      <c r="U77" s="87">
        <v>20261225</v>
      </c>
      <c r="V77" s="86" t="s">
        <v>964</v>
      </c>
      <c r="W77" s="86" t="s">
        <v>781</v>
      </c>
      <c r="X77" s="89" t="s">
        <v>681</v>
      </c>
      <c r="Y77" s="89" t="s">
        <v>681</v>
      </c>
      <c r="Z77" s="89" t="s">
        <v>681</v>
      </c>
      <c r="AA77" s="89" t="s">
        <v>681</v>
      </c>
      <c r="AB77" s="89" t="s">
        <v>681</v>
      </c>
      <c r="AC77" s="89" t="s">
        <v>681</v>
      </c>
      <c r="AD77" s="89" t="s">
        <v>681</v>
      </c>
      <c r="AE77" s="89" t="s">
        <v>681</v>
      </c>
      <c r="AF77" s="89" t="s">
        <v>681</v>
      </c>
      <c r="AG77" s="89" t="s">
        <v>681</v>
      </c>
      <c r="AH77" s="89" t="s">
        <v>681</v>
      </c>
      <c r="AI77" s="89" t="s">
        <v>681</v>
      </c>
      <c r="AJ77" s="89" t="s">
        <v>681</v>
      </c>
      <c r="AK77" s="89" t="s">
        <v>681</v>
      </c>
      <c r="AL77" s="89" t="s">
        <v>681</v>
      </c>
      <c r="AM77" s="89" t="s">
        <v>681</v>
      </c>
      <c r="AN77" s="89" t="s">
        <v>681</v>
      </c>
      <c r="AO77" s="89" t="s">
        <v>681</v>
      </c>
      <c r="AP77" s="89" t="s">
        <v>681</v>
      </c>
      <c r="AQ77" s="89" t="s">
        <v>681</v>
      </c>
      <c r="AR77" s="89" t="s">
        <v>681</v>
      </c>
      <c r="AS77" s="89" t="s">
        <v>681</v>
      </c>
      <c r="AT77" s="89" t="s">
        <v>681</v>
      </c>
      <c r="AU77" s="89" t="s">
        <v>681</v>
      </c>
      <c r="AV77" s="89" t="s">
        <v>681</v>
      </c>
      <c r="AW77" s="89" t="s">
        <v>681</v>
      </c>
      <c r="AX77" s="89" t="s">
        <v>681</v>
      </c>
      <c r="AY77" s="89" t="s">
        <v>681</v>
      </c>
      <c r="AZ77" s="89" t="s">
        <v>681</v>
      </c>
      <c r="BA77" s="89" t="s">
        <v>681</v>
      </c>
    </row>
    <row r="78" spans="2:53">
      <c r="B78" s="92" t="s">
        <v>958</v>
      </c>
      <c r="C78" s="83">
        <v>1</v>
      </c>
      <c r="J78" s="86" t="s">
        <v>145</v>
      </c>
      <c r="K78" s="87">
        <v>0</v>
      </c>
      <c r="L78" s="88">
        <v>46156.587639409721</v>
      </c>
      <c r="M78" s="88">
        <v>46156.587639409721</v>
      </c>
      <c r="N78" s="86" t="s">
        <v>700</v>
      </c>
      <c r="O78" s="86" t="s">
        <v>776</v>
      </c>
      <c r="P78" s="86" t="s">
        <v>777</v>
      </c>
      <c r="Q78" s="87">
        <v>4</v>
      </c>
      <c r="R78" s="89" t="s">
        <v>681</v>
      </c>
      <c r="S78" s="86" t="s">
        <v>668</v>
      </c>
      <c r="T78" s="87">
        <v>20251226</v>
      </c>
      <c r="U78" s="87">
        <v>20270130</v>
      </c>
      <c r="V78" s="86" t="s">
        <v>966</v>
      </c>
      <c r="W78" s="86" t="s">
        <v>781</v>
      </c>
      <c r="X78" s="89" t="s">
        <v>681</v>
      </c>
      <c r="Y78" s="89" t="s">
        <v>681</v>
      </c>
      <c r="Z78" s="89" t="s">
        <v>681</v>
      </c>
      <c r="AA78" s="89" t="s">
        <v>681</v>
      </c>
      <c r="AB78" s="89" t="s">
        <v>681</v>
      </c>
      <c r="AC78" s="89" t="s">
        <v>681</v>
      </c>
      <c r="AD78" s="89" t="s">
        <v>681</v>
      </c>
      <c r="AE78" s="89" t="s">
        <v>681</v>
      </c>
      <c r="AF78" s="89" t="s">
        <v>681</v>
      </c>
      <c r="AG78" s="89" t="s">
        <v>681</v>
      </c>
      <c r="AH78" s="89" t="s">
        <v>681</v>
      </c>
      <c r="AI78" s="89" t="s">
        <v>681</v>
      </c>
      <c r="AJ78" s="89" t="s">
        <v>681</v>
      </c>
      <c r="AK78" s="89" t="s">
        <v>681</v>
      </c>
      <c r="AL78" s="89" t="s">
        <v>681</v>
      </c>
      <c r="AM78" s="89" t="s">
        <v>681</v>
      </c>
      <c r="AN78" s="89" t="s">
        <v>681</v>
      </c>
      <c r="AO78" s="89" t="s">
        <v>681</v>
      </c>
      <c r="AP78" s="89" t="s">
        <v>681</v>
      </c>
      <c r="AQ78" s="89" t="s">
        <v>681</v>
      </c>
      <c r="AR78" s="89" t="s">
        <v>681</v>
      </c>
      <c r="AS78" s="89" t="s">
        <v>681</v>
      </c>
      <c r="AT78" s="89" t="s">
        <v>681</v>
      </c>
      <c r="AU78" s="89" t="s">
        <v>681</v>
      </c>
      <c r="AV78" s="89" t="s">
        <v>681</v>
      </c>
      <c r="AW78" s="89" t="s">
        <v>681</v>
      </c>
      <c r="AX78" s="89" t="s">
        <v>681</v>
      </c>
      <c r="AY78" s="89" t="s">
        <v>681</v>
      </c>
      <c r="AZ78" s="89" t="s">
        <v>681</v>
      </c>
      <c r="BA78" s="89" t="s">
        <v>681</v>
      </c>
    </row>
    <row r="79" spans="2:53">
      <c r="B79" s="92" t="s">
        <v>960</v>
      </c>
      <c r="C79" s="83">
        <v>1</v>
      </c>
      <c r="J79" s="86" t="s">
        <v>456</v>
      </c>
      <c r="K79" s="87">
        <v>0</v>
      </c>
      <c r="L79" s="88">
        <v>46156.587639409721</v>
      </c>
      <c r="M79" s="88">
        <v>46156.587639409721</v>
      </c>
      <c r="N79" s="86" t="s">
        <v>700</v>
      </c>
      <c r="O79" s="86" t="s">
        <v>776</v>
      </c>
      <c r="P79" s="86" t="s">
        <v>777</v>
      </c>
      <c r="Q79" s="87">
        <v>4</v>
      </c>
      <c r="R79" s="89" t="s">
        <v>681</v>
      </c>
      <c r="S79" s="86" t="s">
        <v>668</v>
      </c>
      <c r="T79" s="87">
        <v>20250101</v>
      </c>
      <c r="U79" s="87">
        <v>20270130</v>
      </c>
      <c r="V79" s="86" t="s">
        <v>967</v>
      </c>
      <c r="W79" s="86" t="s">
        <v>781</v>
      </c>
      <c r="X79" s="89" t="s">
        <v>681</v>
      </c>
      <c r="Y79" s="89" t="s">
        <v>681</v>
      </c>
      <c r="Z79" s="89" t="s">
        <v>681</v>
      </c>
      <c r="AA79" s="89" t="s">
        <v>681</v>
      </c>
      <c r="AB79" s="89" t="s">
        <v>681</v>
      </c>
      <c r="AC79" s="89" t="s">
        <v>681</v>
      </c>
      <c r="AD79" s="89" t="s">
        <v>681</v>
      </c>
      <c r="AE79" s="89" t="s">
        <v>681</v>
      </c>
      <c r="AF79" s="89" t="s">
        <v>681</v>
      </c>
      <c r="AG79" s="89" t="s">
        <v>681</v>
      </c>
      <c r="AH79" s="89" t="s">
        <v>681</v>
      </c>
      <c r="AI79" s="89" t="s">
        <v>681</v>
      </c>
      <c r="AJ79" s="89" t="s">
        <v>681</v>
      </c>
      <c r="AK79" s="89" t="s">
        <v>681</v>
      </c>
      <c r="AL79" s="89" t="s">
        <v>681</v>
      </c>
      <c r="AM79" s="89" t="s">
        <v>681</v>
      </c>
      <c r="AN79" s="89" t="s">
        <v>681</v>
      </c>
      <c r="AO79" s="89" t="s">
        <v>681</v>
      </c>
      <c r="AP79" s="89" t="s">
        <v>681</v>
      </c>
      <c r="AQ79" s="89" t="s">
        <v>681</v>
      </c>
      <c r="AR79" s="89" t="s">
        <v>681</v>
      </c>
      <c r="AS79" s="89" t="s">
        <v>681</v>
      </c>
      <c r="AT79" s="89" t="s">
        <v>681</v>
      </c>
      <c r="AU79" s="89" t="s">
        <v>681</v>
      </c>
      <c r="AV79" s="89" t="s">
        <v>681</v>
      </c>
      <c r="AW79" s="89" t="s">
        <v>681</v>
      </c>
      <c r="AX79" s="89" t="s">
        <v>681</v>
      </c>
      <c r="AY79" s="89" t="s">
        <v>681</v>
      </c>
      <c r="AZ79" s="89" t="s">
        <v>681</v>
      </c>
      <c r="BA79" s="89" t="s">
        <v>681</v>
      </c>
    </row>
    <row r="80" spans="2:53">
      <c r="B80" s="92" t="s">
        <v>969</v>
      </c>
      <c r="C80" s="83">
        <v>1</v>
      </c>
      <c r="J80" s="86" t="s">
        <v>145</v>
      </c>
      <c r="K80" s="87">
        <v>0</v>
      </c>
      <c r="L80" s="88">
        <v>46156.587643981482</v>
      </c>
      <c r="M80" s="88">
        <v>46156.587643981482</v>
      </c>
      <c r="N80" s="86" t="s">
        <v>700</v>
      </c>
      <c r="O80" s="86" t="s">
        <v>782</v>
      </c>
      <c r="P80" s="86" t="s">
        <v>783</v>
      </c>
      <c r="Q80" s="87">
        <v>1</v>
      </c>
      <c r="R80" s="89" t="s">
        <v>681</v>
      </c>
      <c r="S80" s="86" t="s">
        <v>262</v>
      </c>
      <c r="T80" s="87">
        <v>20251201</v>
      </c>
      <c r="U80" s="87">
        <v>20251225</v>
      </c>
      <c r="V80" s="86" t="s">
        <v>973</v>
      </c>
      <c r="W80" s="86" t="s">
        <v>789</v>
      </c>
      <c r="X80" s="86" t="s">
        <v>786</v>
      </c>
      <c r="Y80" s="86" t="s">
        <v>676</v>
      </c>
      <c r="Z80" s="89" t="s">
        <v>681</v>
      </c>
      <c r="AA80" s="89" t="s">
        <v>681</v>
      </c>
      <c r="AB80" s="89" t="s">
        <v>681</v>
      </c>
      <c r="AC80" s="89" t="s">
        <v>681</v>
      </c>
      <c r="AD80" s="89" t="s">
        <v>681</v>
      </c>
      <c r="AE80" s="89" t="s">
        <v>681</v>
      </c>
      <c r="AF80" s="89" t="s">
        <v>681</v>
      </c>
      <c r="AG80" s="89" t="s">
        <v>681</v>
      </c>
      <c r="AH80" s="89" t="s">
        <v>681</v>
      </c>
      <c r="AI80" s="89" t="s">
        <v>681</v>
      </c>
      <c r="AJ80" s="89" t="s">
        <v>681</v>
      </c>
      <c r="AK80" s="89" t="s">
        <v>681</v>
      </c>
      <c r="AL80" s="89" t="s">
        <v>681</v>
      </c>
      <c r="AM80" s="89" t="s">
        <v>681</v>
      </c>
      <c r="AN80" s="89" t="s">
        <v>681</v>
      </c>
      <c r="AO80" s="89" t="s">
        <v>681</v>
      </c>
      <c r="AP80" s="89" t="s">
        <v>681</v>
      </c>
      <c r="AQ80" s="89" t="s">
        <v>681</v>
      </c>
      <c r="AR80" s="89" t="s">
        <v>681</v>
      </c>
      <c r="AS80" s="89" t="s">
        <v>681</v>
      </c>
      <c r="AT80" s="89" t="s">
        <v>681</v>
      </c>
      <c r="AU80" s="89" t="s">
        <v>681</v>
      </c>
      <c r="AV80" s="89" t="s">
        <v>681</v>
      </c>
      <c r="AW80" s="89" t="s">
        <v>681</v>
      </c>
      <c r="AX80" s="89" t="s">
        <v>681</v>
      </c>
      <c r="AY80" s="89" t="s">
        <v>681</v>
      </c>
      <c r="AZ80" s="89" t="s">
        <v>681</v>
      </c>
      <c r="BA80" s="89" t="s">
        <v>681</v>
      </c>
    </row>
    <row r="81" spans="2:53">
      <c r="B81" s="92" t="s">
        <v>970</v>
      </c>
      <c r="C81" s="83">
        <v>1</v>
      </c>
      <c r="J81" s="86" t="s">
        <v>145</v>
      </c>
      <c r="K81" s="87">
        <v>0</v>
      </c>
      <c r="L81" s="88">
        <v>46156.587643981482</v>
      </c>
      <c r="M81" s="88">
        <v>46156.587643981482</v>
      </c>
      <c r="N81" s="86" t="s">
        <v>700</v>
      </c>
      <c r="O81" s="86" t="s">
        <v>782</v>
      </c>
      <c r="P81" s="86" t="s">
        <v>783</v>
      </c>
      <c r="Q81" s="87">
        <v>1</v>
      </c>
      <c r="R81" s="89" t="s">
        <v>681</v>
      </c>
      <c r="S81" s="86" t="s">
        <v>463</v>
      </c>
      <c r="T81" s="87">
        <v>20251201</v>
      </c>
      <c r="U81" s="87">
        <v>20261225</v>
      </c>
      <c r="V81" s="86" t="s">
        <v>974</v>
      </c>
      <c r="W81" s="86" t="s">
        <v>789</v>
      </c>
      <c r="X81" s="86" t="s">
        <v>786</v>
      </c>
      <c r="Y81" s="86" t="s">
        <v>676</v>
      </c>
      <c r="Z81" s="89" t="s">
        <v>681</v>
      </c>
      <c r="AA81" s="89" t="s">
        <v>681</v>
      </c>
      <c r="AB81" s="89" t="s">
        <v>681</v>
      </c>
      <c r="AC81" s="89" t="s">
        <v>681</v>
      </c>
      <c r="AD81" s="89" t="s">
        <v>681</v>
      </c>
      <c r="AE81" s="89" t="s">
        <v>681</v>
      </c>
      <c r="AF81" s="89" t="s">
        <v>681</v>
      </c>
      <c r="AG81" s="89" t="s">
        <v>681</v>
      </c>
      <c r="AH81" s="89" t="s">
        <v>681</v>
      </c>
      <c r="AI81" s="89" t="s">
        <v>681</v>
      </c>
      <c r="AJ81" s="89" t="s">
        <v>681</v>
      </c>
      <c r="AK81" s="89" t="s">
        <v>681</v>
      </c>
      <c r="AL81" s="89" t="s">
        <v>681</v>
      </c>
      <c r="AM81" s="89" t="s">
        <v>681</v>
      </c>
      <c r="AN81" s="89" t="s">
        <v>681</v>
      </c>
      <c r="AO81" s="89" t="s">
        <v>681</v>
      </c>
      <c r="AP81" s="89" t="s">
        <v>681</v>
      </c>
      <c r="AQ81" s="89" t="s">
        <v>681</v>
      </c>
      <c r="AR81" s="89" t="s">
        <v>681</v>
      </c>
      <c r="AS81" s="89" t="s">
        <v>681</v>
      </c>
      <c r="AT81" s="89" t="s">
        <v>681</v>
      </c>
      <c r="AU81" s="89" t="s">
        <v>681</v>
      </c>
      <c r="AV81" s="89" t="s">
        <v>681</v>
      </c>
      <c r="AW81" s="89" t="s">
        <v>681</v>
      </c>
      <c r="AX81" s="89" t="s">
        <v>681</v>
      </c>
      <c r="AY81" s="89" t="s">
        <v>681</v>
      </c>
      <c r="AZ81" s="89" t="s">
        <v>681</v>
      </c>
      <c r="BA81" s="89" t="s">
        <v>681</v>
      </c>
    </row>
    <row r="82" spans="2:53">
      <c r="B82" s="92" t="s">
        <v>971</v>
      </c>
      <c r="C82" s="83">
        <v>1</v>
      </c>
      <c r="J82" s="86" t="s">
        <v>145</v>
      </c>
      <c r="K82" s="87">
        <v>0</v>
      </c>
      <c r="L82" s="88">
        <v>46156.587643981482</v>
      </c>
      <c r="M82" s="88">
        <v>46156.587643981482</v>
      </c>
      <c r="N82" s="86" t="s">
        <v>700</v>
      </c>
      <c r="O82" s="86" t="s">
        <v>782</v>
      </c>
      <c r="P82" s="86" t="s">
        <v>783</v>
      </c>
      <c r="Q82" s="87">
        <v>1</v>
      </c>
      <c r="R82" s="89" t="s">
        <v>681</v>
      </c>
      <c r="S82" s="86" t="s">
        <v>262</v>
      </c>
      <c r="T82" s="87">
        <v>20251226</v>
      </c>
      <c r="U82" s="87">
        <v>20270130</v>
      </c>
      <c r="V82" s="86" t="s">
        <v>975</v>
      </c>
      <c r="W82" s="86" t="s">
        <v>789</v>
      </c>
      <c r="X82" s="86" t="s">
        <v>786</v>
      </c>
      <c r="Y82" s="86" t="s">
        <v>676</v>
      </c>
      <c r="Z82" s="89" t="s">
        <v>681</v>
      </c>
      <c r="AA82" s="89" t="s">
        <v>681</v>
      </c>
      <c r="AB82" s="89" t="s">
        <v>681</v>
      </c>
      <c r="AC82" s="89" t="s">
        <v>681</v>
      </c>
      <c r="AD82" s="89" t="s">
        <v>681</v>
      </c>
      <c r="AE82" s="89" t="s">
        <v>681</v>
      </c>
      <c r="AF82" s="89" t="s">
        <v>681</v>
      </c>
      <c r="AG82" s="89" t="s">
        <v>681</v>
      </c>
      <c r="AH82" s="89" t="s">
        <v>681</v>
      </c>
      <c r="AI82" s="89" t="s">
        <v>681</v>
      </c>
      <c r="AJ82" s="89" t="s">
        <v>681</v>
      </c>
      <c r="AK82" s="89" t="s">
        <v>681</v>
      </c>
      <c r="AL82" s="89" t="s">
        <v>681</v>
      </c>
      <c r="AM82" s="89" t="s">
        <v>681</v>
      </c>
      <c r="AN82" s="89" t="s">
        <v>681</v>
      </c>
      <c r="AO82" s="89" t="s">
        <v>681</v>
      </c>
      <c r="AP82" s="89" t="s">
        <v>681</v>
      </c>
      <c r="AQ82" s="89" t="s">
        <v>681</v>
      </c>
      <c r="AR82" s="89" t="s">
        <v>681</v>
      </c>
      <c r="AS82" s="89" t="s">
        <v>681</v>
      </c>
      <c r="AT82" s="89" t="s">
        <v>681</v>
      </c>
      <c r="AU82" s="89" t="s">
        <v>681</v>
      </c>
      <c r="AV82" s="89" t="s">
        <v>681</v>
      </c>
      <c r="AW82" s="89" t="s">
        <v>681</v>
      </c>
      <c r="AX82" s="89" t="s">
        <v>681</v>
      </c>
      <c r="AY82" s="89" t="s">
        <v>681</v>
      </c>
      <c r="AZ82" s="89" t="s">
        <v>681</v>
      </c>
      <c r="BA82" s="89" t="s">
        <v>681</v>
      </c>
    </row>
    <row r="83" spans="2:53">
      <c r="B83" s="92" t="s">
        <v>972</v>
      </c>
      <c r="C83" s="83">
        <v>1</v>
      </c>
      <c r="J83" s="86" t="s">
        <v>456</v>
      </c>
      <c r="K83" s="87">
        <v>0</v>
      </c>
      <c r="L83" s="88">
        <v>46156.587643981482</v>
      </c>
      <c r="M83" s="88">
        <v>46156.587643981482</v>
      </c>
      <c r="N83" s="86" t="s">
        <v>700</v>
      </c>
      <c r="O83" s="86" t="s">
        <v>782</v>
      </c>
      <c r="P83" s="86" t="s">
        <v>783</v>
      </c>
      <c r="Q83" s="87">
        <v>1</v>
      </c>
      <c r="R83" s="89" t="s">
        <v>681</v>
      </c>
      <c r="S83" s="86" t="s">
        <v>262</v>
      </c>
      <c r="T83" s="87">
        <v>20250101</v>
      </c>
      <c r="U83" s="87">
        <v>20270130</v>
      </c>
      <c r="V83" s="86" t="s">
        <v>976</v>
      </c>
      <c r="W83" s="86" t="s">
        <v>789</v>
      </c>
      <c r="X83" s="86" t="s">
        <v>786</v>
      </c>
      <c r="Y83" s="86" t="s">
        <v>676</v>
      </c>
      <c r="Z83" s="89" t="s">
        <v>681</v>
      </c>
      <c r="AA83" s="89" t="s">
        <v>681</v>
      </c>
      <c r="AB83" s="89" t="s">
        <v>681</v>
      </c>
      <c r="AC83" s="89" t="s">
        <v>681</v>
      </c>
      <c r="AD83" s="89" t="s">
        <v>681</v>
      </c>
      <c r="AE83" s="89" t="s">
        <v>681</v>
      </c>
      <c r="AF83" s="89" t="s">
        <v>681</v>
      </c>
      <c r="AG83" s="89" t="s">
        <v>681</v>
      </c>
      <c r="AH83" s="89" t="s">
        <v>681</v>
      </c>
      <c r="AI83" s="89" t="s">
        <v>681</v>
      </c>
      <c r="AJ83" s="89" t="s">
        <v>681</v>
      </c>
      <c r="AK83" s="89" t="s">
        <v>681</v>
      </c>
      <c r="AL83" s="89" t="s">
        <v>681</v>
      </c>
      <c r="AM83" s="89" t="s">
        <v>681</v>
      </c>
      <c r="AN83" s="89" t="s">
        <v>681</v>
      </c>
      <c r="AO83" s="89" t="s">
        <v>681</v>
      </c>
      <c r="AP83" s="89" t="s">
        <v>681</v>
      </c>
      <c r="AQ83" s="89" t="s">
        <v>681</v>
      </c>
      <c r="AR83" s="89" t="s">
        <v>681</v>
      </c>
      <c r="AS83" s="89" t="s">
        <v>681</v>
      </c>
      <c r="AT83" s="89" t="s">
        <v>681</v>
      </c>
      <c r="AU83" s="89" t="s">
        <v>681</v>
      </c>
      <c r="AV83" s="89" t="s">
        <v>681</v>
      </c>
      <c r="AW83" s="89" t="s">
        <v>681</v>
      </c>
      <c r="AX83" s="89" t="s">
        <v>681</v>
      </c>
      <c r="AY83" s="89" t="s">
        <v>681</v>
      </c>
      <c r="AZ83" s="89" t="s">
        <v>681</v>
      </c>
      <c r="BA83" s="89" t="s">
        <v>681</v>
      </c>
    </row>
    <row r="84" spans="2:53">
      <c r="B84" s="92" t="s">
        <v>957</v>
      </c>
      <c r="C84" s="83" t="s">
        <v>1018</v>
      </c>
      <c r="J84" s="86" t="s">
        <v>145</v>
      </c>
      <c r="K84" s="87">
        <v>0</v>
      </c>
      <c r="L84" s="88">
        <v>46156.587639409721</v>
      </c>
      <c r="M84" s="88">
        <v>46156.587639409721</v>
      </c>
      <c r="N84" s="86" t="s">
        <v>700</v>
      </c>
      <c r="O84" s="86" t="s">
        <v>776</v>
      </c>
      <c r="P84" s="86" t="s">
        <v>777</v>
      </c>
      <c r="Q84" s="87">
        <v>4</v>
      </c>
      <c r="R84" s="89" t="s">
        <v>681</v>
      </c>
      <c r="S84" s="86" t="s">
        <v>658</v>
      </c>
      <c r="T84" s="87">
        <v>20250101</v>
      </c>
      <c r="U84" s="87">
        <v>99991231</v>
      </c>
      <c r="V84" s="86" t="s">
        <v>671</v>
      </c>
      <c r="W84" s="86" t="s">
        <v>778</v>
      </c>
      <c r="X84" s="89" t="s">
        <v>681</v>
      </c>
      <c r="Y84" s="89" t="s">
        <v>681</v>
      </c>
      <c r="Z84" s="89" t="s">
        <v>681</v>
      </c>
      <c r="AA84" s="89" t="s">
        <v>681</v>
      </c>
      <c r="AB84" s="89" t="s">
        <v>681</v>
      </c>
      <c r="AC84" s="89" t="s">
        <v>681</v>
      </c>
      <c r="AD84" s="89" t="s">
        <v>681</v>
      </c>
      <c r="AE84" s="89" t="s">
        <v>681</v>
      </c>
      <c r="AF84" s="89" t="s">
        <v>681</v>
      </c>
      <c r="AG84" s="89" t="s">
        <v>681</v>
      </c>
      <c r="AH84" s="89" t="s">
        <v>681</v>
      </c>
      <c r="AI84" s="89" t="s">
        <v>681</v>
      </c>
      <c r="AJ84" s="89" t="s">
        <v>681</v>
      </c>
      <c r="AK84" s="89" t="s">
        <v>681</v>
      </c>
      <c r="AL84" s="89" t="s">
        <v>681</v>
      </c>
      <c r="AM84" s="89" t="s">
        <v>681</v>
      </c>
      <c r="AN84" s="89" t="s">
        <v>681</v>
      </c>
      <c r="AO84" s="89" t="s">
        <v>681</v>
      </c>
      <c r="AP84" s="89" t="s">
        <v>681</v>
      </c>
      <c r="AQ84" s="89" t="s">
        <v>681</v>
      </c>
      <c r="AR84" s="89" t="s">
        <v>681</v>
      </c>
      <c r="AS84" s="89" t="s">
        <v>681</v>
      </c>
      <c r="AT84" s="89" t="s">
        <v>681</v>
      </c>
      <c r="AU84" s="89" t="s">
        <v>681</v>
      </c>
      <c r="AV84" s="89" t="s">
        <v>681</v>
      </c>
      <c r="AW84" s="89" t="s">
        <v>681</v>
      </c>
      <c r="AX84" s="89" t="s">
        <v>681</v>
      </c>
      <c r="AY84" s="89" t="s">
        <v>681</v>
      </c>
      <c r="AZ84" s="89" t="s">
        <v>681</v>
      </c>
      <c r="BA84" s="89" t="s">
        <v>681</v>
      </c>
    </row>
    <row r="85" spans="2:53">
      <c r="B85" s="92" t="s">
        <v>957</v>
      </c>
      <c r="C85" s="83" t="s">
        <v>1018</v>
      </c>
      <c r="J85" s="86" t="s">
        <v>145</v>
      </c>
      <c r="K85" s="87">
        <v>0</v>
      </c>
      <c r="L85" s="88">
        <v>46156.587639409721</v>
      </c>
      <c r="M85" s="88">
        <v>46156.587639409721</v>
      </c>
      <c r="N85" s="86" t="s">
        <v>700</v>
      </c>
      <c r="O85" s="86" t="s">
        <v>776</v>
      </c>
      <c r="P85" s="86" t="s">
        <v>777</v>
      </c>
      <c r="Q85" s="87">
        <v>4</v>
      </c>
      <c r="R85" s="89" t="s">
        <v>681</v>
      </c>
      <c r="S85" s="86" t="s">
        <v>659</v>
      </c>
      <c r="T85" s="87">
        <v>20250101</v>
      </c>
      <c r="U85" s="87">
        <v>99991231</v>
      </c>
      <c r="V85" s="86" t="s">
        <v>672</v>
      </c>
      <c r="W85" s="86" t="s">
        <v>779</v>
      </c>
      <c r="X85" s="89" t="s">
        <v>681</v>
      </c>
      <c r="Y85" s="89" t="s">
        <v>681</v>
      </c>
      <c r="Z85" s="89" t="s">
        <v>681</v>
      </c>
      <c r="AA85" s="89" t="s">
        <v>681</v>
      </c>
      <c r="AB85" s="89" t="s">
        <v>681</v>
      </c>
      <c r="AC85" s="89" t="s">
        <v>681</v>
      </c>
      <c r="AD85" s="89" t="s">
        <v>681</v>
      </c>
      <c r="AE85" s="89" t="s">
        <v>681</v>
      </c>
      <c r="AF85" s="89" t="s">
        <v>681</v>
      </c>
      <c r="AG85" s="89" t="s">
        <v>681</v>
      </c>
      <c r="AH85" s="89" t="s">
        <v>681</v>
      </c>
      <c r="AI85" s="89" t="s">
        <v>681</v>
      </c>
      <c r="AJ85" s="89" t="s">
        <v>681</v>
      </c>
      <c r="AK85" s="89" t="s">
        <v>681</v>
      </c>
      <c r="AL85" s="89" t="s">
        <v>681</v>
      </c>
      <c r="AM85" s="89" t="s">
        <v>681</v>
      </c>
      <c r="AN85" s="89" t="s">
        <v>681</v>
      </c>
      <c r="AO85" s="89" t="s">
        <v>681</v>
      </c>
      <c r="AP85" s="89" t="s">
        <v>681</v>
      </c>
      <c r="AQ85" s="89" t="s">
        <v>681</v>
      </c>
      <c r="AR85" s="89" t="s">
        <v>681</v>
      </c>
      <c r="AS85" s="89" t="s">
        <v>681</v>
      </c>
      <c r="AT85" s="89" t="s">
        <v>681</v>
      </c>
      <c r="AU85" s="89" t="s">
        <v>681</v>
      </c>
      <c r="AV85" s="89" t="s">
        <v>681</v>
      </c>
      <c r="AW85" s="89" t="s">
        <v>681</v>
      </c>
      <c r="AX85" s="89" t="s">
        <v>681</v>
      </c>
      <c r="AY85" s="89" t="s">
        <v>681</v>
      </c>
      <c r="AZ85" s="89" t="s">
        <v>681</v>
      </c>
      <c r="BA85" s="89" t="s">
        <v>681</v>
      </c>
    </row>
    <row r="86" spans="2:53">
      <c r="B86" s="92" t="s">
        <v>957</v>
      </c>
      <c r="C86" s="83" t="s">
        <v>1018</v>
      </c>
      <c r="J86" s="86" t="s">
        <v>145</v>
      </c>
      <c r="K86" s="87">
        <v>0</v>
      </c>
      <c r="L86" s="88">
        <v>46156.587639409721</v>
      </c>
      <c r="M86" s="88">
        <v>46156.587639409721</v>
      </c>
      <c r="N86" s="86" t="s">
        <v>700</v>
      </c>
      <c r="O86" s="86" t="s">
        <v>776</v>
      </c>
      <c r="P86" s="86" t="s">
        <v>777</v>
      </c>
      <c r="Q86" s="87">
        <v>4</v>
      </c>
      <c r="R86" s="89" t="s">
        <v>681</v>
      </c>
      <c r="S86" s="86" t="s">
        <v>660</v>
      </c>
      <c r="T86" s="87">
        <v>20250101</v>
      </c>
      <c r="U86" s="87">
        <v>99991231</v>
      </c>
      <c r="V86" s="86" t="s">
        <v>673</v>
      </c>
      <c r="W86" s="86" t="s">
        <v>780</v>
      </c>
      <c r="X86" s="89" t="s">
        <v>681</v>
      </c>
      <c r="Y86" s="89" t="s">
        <v>681</v>
      </c>
      <c r="Z86" s="89" t="s">
        <v>681</v>
      </c>
      <c r="AA86" s="89" t="s">
        <v>681</v>
      </c>
      <c r="AB86" s="89" t="s">
        <v>681</v>
      </c>
      <c r="AC86" s="89" t="s">
        <v>681</v>
      </c>
      <c r="AD86" s="89" t="s">
        <v>681</v>
      </c>
      <c r="AE86" s="89" t="s">
        <v>681</v>
      </c>
      <c r="AF86" s="89" t="s">
        <v>681</v>
      </c>
      <c r="AG86" s="89" t="s">
        <v>681</v>
      </c>
      <c r="AH86" s="89" t="s">
        <v>681</v>
      </c>
      <c r="AI86" s="89" t="s">
        <v>681</v>
      </c>
      <c r="AJ86" s="89" t="s">
        <v>681</v>
      </c>
      <c r="AK86" s="89" t="s">
        <v>681</v>
      </c>
      <c r="AL86" s="89" t="s">
        <v>681</v>
      </c>
      <c r="AM86" s="89" t="s">
        <v>681</v>
      </c>
      <c r="AN86" s="89" t="s">
        <v>681</v>
      </c>
      <c r="AO86" s="89" t="s">
        <v>681</v>
      </c>
      <c r="AP86" s="89" t="s">
        <v>681</v>
      </c>
      <c r="AQ86" s="89" t="s">
        <v>681</v>
      </c>
      <c r="AR86" s="89" t="s">
        <v>681</v>
      </c>
      <c r="AS86" s="89" t="s">
        <v>681</v>
      </c>
      <c r="AT86" s="89" t="s">
        <v>681</v>
      </c>
      <c r="AU86" s="89" t="s">
        <v>681</v>
      </c>
      <c r="AV86" s="89" t="s">
        <v>681</v>
      </c>
      <c r="AW86" s="89" t="s">
        <v>681</v>
      </c>
      <c r="AX86" s="89" t="s">
        <v>681</v>
      </c>
      <c r="AY86" s="89" t="s">
        <v>681</v>
      </c>
      <c r="AZ86" s="89" t="s">
        <v>681</v>
      </c>
      <c r="BA86" s="89" t="s">
        <v>681</v>
      </c>
    </row>
    <row r="87" spans="2:53">
      <c r="B87" s="92" t="s">
        <v>969</v>
      </c>
      <c r="C87" s="83" t="s">
        <v>1018</v>
      </c>
      <c r="J87" s="86" t="s">
        <v>145</v>
      </c>
      <c r="K87" s="87">
        <v>0</v>
      </c>
      <c r="L87" s="88">
        <v>46156.587643981482</v>
      </c>
      <c r="M87" s="88">
        <v>46156.587643981482</v>
      </c>
      <c r="N87" s="86" t="s">
        <v>700</v>
      </c>
      <c r="O87" s="86" t="s">
        <v>782</v>
      </c>
      <c r="P87" s="86" t="s">
        <v>783</v>
      </c>
      <c r="Q87" s="87">
        <v>1</v>
      </c>
      <c r="R87" s="89" t="s">
        <v>681</v>
      </c>
      <c r="S87" s="86" t="s">
        <v>146</v>
      </c>
      <c r="T87" s="87">
        <v>20250101</v>
      </c>
      <c r="U87" s="87">
        <v>99991231</v>
      </c>
      <c r="V87" s="86" t="s">
        <v>784</v>
      </c>
      <c r="W87" s="86" t="s">
        <v>785</v>
      </c>
      <c r="X87" s="86" t="s">
        <v>786</v>
      </c>
      <c r="Y87" s="86" t="s">
        <v>674</v>
      </c>
      <c r="Z87" s="89" t="s">
        <v>681</v>
      </c>
      <c r="AA87" s="89" t="s">
        <v>681</v>
      </c>
      <c r="AB87" s="89" t="s">
        <v>681</v>
      </c>
      <c r="AC87" s="89" t="s">
        <v>681</v>
      </c>
      <c r="AD87" s="89" t="s">
        <v>681</v>
      </c>
      <c r="AE87" s="89" t="s">
        <v>681</v>
      </c>
      <c r="AF87" s="89" t="s">
        <v>681</v>
      </c>
      <c r="AG87" s="89" t="s">
        <v>681</v>
      </c>
      <c r="AH87" s="89" t="s">
        <v>681</v>
      </c>
      <c r="AI87" s="89" t="s">
        <v>681</v>
      </c>
      <c r="AJ87" s="89" t="s">
        <v>681</v>
      </c>
      <c r="AK87" s="89" t="s">
        <v>681</v>
      </c>
      <c r="AL87" s="89" t="s">
        <v>681</v>
      </c>
      <c r="AM87" s="89" t="s">
        <v>681</v>
      </c>
      <c r="AN87" s="89" t="s">
        <v>681</v>
      </c>
      <c r="AO87" s="89" t="s">
        <v>681</v>
      </c>
      <c r="AP87" s="89" t="s">
        <v>681</v>
      </c>
      <c r="AQ87" s="89" t="s">
        <v>681</v>
      </c>
      <c r="AR87" s="89" t="s">
        <v>681</v>
      </c>
      <c r="AS87" s="89" t="s">
        <v>681</v>
      </c>
      <c r="AT87" s="89" t="s">
        <v>681</v>
      </c>
      <c r="AU87" s="89" t="s">
        <v>681</v>
      </c>
      <c r="AV87" s="89" t="s">
        <v>681</v>
      </c>
      <c r="AW87" s="89" t="s">
        <v>681</v>
      </c>
      <c r="AX87" s="89" t="s">
        <v>681</v>
      </c>
      <c r="AY87" s="89" t="s">
        <v>681</v>
      </c>
      <c r="AZ87" s="89" t="s">
        <v>681</v>
      </c>
      <c r="BA87" s="89" t="s">
        <v>681</v>
      </c>
    </row>
    <row r="88" spans="2:53">
      <c r="B88" s="92" t="s">
        <v>969</v>
      </c>
      <c r="C88" s="83" t="s">
        <v>1018</v>
      </c>
      <c r="J88" s="86" t="s">
        <v>145</v>
      </c>
      <c r="K88" s="87">
        <v>0</v>
      </c>
      <c r="L88" s="88">
        <v>46156.587643981482</v>
      </c>
      <c r="M88" s="88">
        <v>46156.587643981482</v>
      </c>
      <c r="N88" s="86" t="s">
        <v>700</v>
      </c>
      <c r="O88" s="86" t="s">
        <v>782</v>
      </c>
      <c r="P88" s="86" t="s">
        <v>783</v>
      </c>
      <c r="Q88" s="87">
        <v>1</v>
      </c>
      <c r="R88" s="89" t="s">
        <v>681</v>
      </c>
      <c r="S88" s="86" t="s">
        <v>260</v>
      </c>
      <c r="T88" s="87">
        <v>20250101</v>
      </c>
      <c r="U88" s="87">
        <v>99991231</v>
      </c>
      <c r="V88" s="86" t="s">
        <v>787</v>
      </c>
      <c r="W88" s="86" t="s">
        <v>788</v>
      </c>
      <c r="X88" s="86" t="s">
        <v>786</v>
      </c>
      <c r="Y88" s="86" t="s">
        <v>675</v>
      </c>
      <c r="Z88" s="89" t="s">
        <v>681</v>
      </c>
      <c r="AA88" s="89" t="s">
        <v>681</v>
      </c>
      <c r="AB88" s="89" t="s">
        <v>681</v>
      </c>
      <c r="AC88" s="89" t="s">
        <v>681</v>
      </c>
      <c r="AD88" s="89" t="s">
        <v>681</v>
      </c>
      <c r="AE88" s="89" t="s">
        <v>681</v>
      </c>
      <c r="AF88" s="89" t="s">
        <v>681</v>
      </c>
      <c r="AG88" s="89" t="s">
        <v>681</v>
      </c>
      <c r="AH88" s="89" t="s">
        <v>681</v>
      </c>
      <c r="AI88" s="89" t="s">
        <v>681</v>
      </c>
      <c r="AJ88" s="89" t="s">
        <v>681</v>
      </c>
      <c r="AK88" s="89" t="s">
        <v>681</v>
      </c>
      <c r="AL88" s="89" t="s">
        <v>681</v>
      </c>
      <c r="AM88" s="89" t="s">
        <v>681</v>
      </c>
      <c r="AN88" s="89" t="s">
        <v>681</v>
      </c>
      <c r="AO88" s="89" t="s">
        <v>681</v>
      </c>
      <c r="AP88" s="89" t="s">
        <v>681</v>
      </c>
      <c r="AQ88" s="89" t="s">
        <v>681</v>
      </c>
      <c r="AR88" s="89" t="s">
        <v>681</v>
      </c>
      <c r="AS88" s="89" t="s">
        <v>681</v>
      </c>
      <c r="AT88" s="89" t="s">
        <v>681</v>
      </c>
      <c r="AU88" s="89" t="s">
        <v>681</v>
      </c>
      <c r="AV88" s="89" t="s">
        <v>681</v>
      </c>
      <c r="AW88" s="89" t="s">
        <v>681</v>
      </c>
      <c r="AX88" s="89" t="s">
        <v>681</v>
      </c>
      <c r="AY88" s="89" t="s">
        <v>681</v>
      </c>
      <c r="AZ88" s="89" t="s">
        <v>681</v>
      </c>
      <c r="BA88" s="89" t="s">
        <v>681</v>
      </c>
    </row>
    <row r="89" spans="2:53">
      <c r="B89" s="94"/>
      <c r="C89" s="93"/>
      <c r="J89" s="97"/>
      <c r="K89" s="98"/>
      <c r="L89" s="99"/>
      <c r="M89" s="99"/>
      <c r="N89" s="97"/>
      <c r="O89" s="97"/>
      <c r="P89" s="97"/>
      <c r="Q89" s="98"/>
      <c r="R89" s="106"/>
      <c r="S89" s="97"/>
      <c r="T89" s="98"/>
      <c r="U89" s="98"/>
      <c r="V89" s="97"/>
      <c r="W89" s="97"/>
      <c r="X89" s="97"/>
      <c r="Y89" s="97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</row>
    <row r="90" spans="2:53">
      <c r="B90" s="94"/>
      <c r="C90" s="93"/>
      <c r="J90" s="97"/>
      <c r="K90" s="98"/>
      <c r="L90" s="99"/>
      <c r="M90" s="99"/>
      <c r="N90" s="97"/>
      <c r="O90" s="97"/>
      <c r="P90" s="97"/>
      <c r="Q90" s="98"/>
      <c r="R90" s="106"/>
      <c r="S90" s="97"/>
      <c r="T90" s="98"/>
      <c r="U90" s="98"/>
      <c r="V90" s="97"/>
      <c r="W90" s="97"/>
      <c r="X90" s="97"/>
      <c r="Y90" s="97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</row>
    <row r="91" spans="2:53">
      <c r="V91" s="64" t="s">
        <v>882</v>
      </c>
    </row>
    <row r="92" spans="2:53">
      <c r="D92">
        <v>1</v>
      </c>
      <c r="E92" t="s">
        <v>141</v>
      </c>
      <c r="F92" t="s">
        <v>136</v>
      </c>
      <c r="G92" t="s">
        <v>140</v>
      </c>
      <c r="H92" t="s">
        <v>698</v>
      </c>
      <c r="I92" s="77" t="s">
        <v>699</v>
      </c>
      <c r="S92" s="104" t="s">
        <v>753</v>
      </c>
      <c r="T92" s="104" t="s">
        <v>754</v>
      </c>
    </row>
    <row r="93" spans="2:53" ht="14.25">
      <c r="J93" s="78" t="s">
        <v>41</v>
      </c>
      <c r="K93" s="78" t="s">
        <v>42</v>
      </c>
      <c r="L93" s="78" t="s">
        <v>43</v>
      </c>
      <c r="M93" s="78" t="s">
        <v>44</v>
      </c>
      <c r="N93" s="78" t="s">
        <v>45</v>
      </c>
      <c r="O93" s="78" t="s">
        <v>46</v>
      </c>
      <c r="P93" s="78" t="s">
        <v>686</v>
      </c>
      <c r="Q93" s="78" t="s">
        <v>47</v>
      </c>
      <c r="R93" s="78" t="s">
        <v>687</v>
      </c>
      <c r="S93" s="78" t="s">
        <v>360</v>
      </c>
      <c r="T93" s="78" t="s">
        <v>48</v>
      </c>
      <c r="U93" s="78" t="s">
        <v>49</v>
      </c>
      <c r="V93" s="78" t="s">
        <v>361</v>
      </c>
      <c r="W93" s="78" t="s">
        <v>688</v>
      </c>
      <c r="X93" s="78" t="s">
        <v>689</v>
      </c>
      <c r="Y93" s="78" t="s">
        <v>50</v>
      </c>
    </row>
    <row r="94" spans="2:53" ht="14.25">
      <c r="B94" s="79" t="s">
        <v>74</v>
      </c>
      <c r="C94" s="80" t="s">
        <v>325</v>
      </c>
      <c r="J94" s="78" t="s">
        <v>690</v>
      </c>
      <c r="K94" s="78" t="s">
        <v>52</v>
      </c>
      <c r="L94" s="78" t="s">
        <v>691</v>
      </c>
      <c r="M94" s="78" t="s">
        <v>692</v>
      </c>
      <c r="N94" s="78" t="s">
        <v>693</v>
      </c>
      <c r="O94" s="78" t="s">
        <v>56</v>
      </c>
      <c r="P94" s="78" t="s">
        <v>57</v>
      </c>
      <c r="Q94" s="78" t="s">
        <v>58</v>
      </c>
      <c r="R94" s="78" t="s">
        <v>59</v>
      </c>
      <c r="S94" s="78" t="s">
        <v>414</v>
      </c>
      <c r="T94" s="78" t="s">
        <v>60</v>
      </c>
      <c r="U94" s="78" t="s">
        <v>61</v>
      </c>
      <c r="V94" s="78" t="s">
        <v>694</v>
      </c>
      <c r="W94" s="78" t="s">
        <v>695</v>
      </c>
      <c r="X94" s="78" t="s">
        <v>696</v>
      </c>
      <c r="Y94" s="78" t="s">
        <v>62</v>
      </c>
    </row>
    <row r="95" spans="2:53">
      <c r="B95" s="92" t="s">
        <v>979</v>
      </c>
      <c r="C95" s="83">
        <v>1</v>
      </c>
      <c r="J95" s="86" t="s">
        <v>145</v>
      </c>
      <c r="K95" s="87">
        <v>0</v>
      </c>
      <c r="L95" s="95">
        <v>45658.416666666664</v>
      </c>
      <c r="M95" s="95">
        <v>45658.416666666664</v>
      </c>
      <c r="N95" s="86" t="s">
        <v>452</v>
      </c>
      <c r="O95" s="95">
        <v>45658.416666666664</v>
      </c>
      <c r="P95" s="86" t="s">
        <v>452</v>
      </c>
      <c r="Q95" s="95">
        <v>45658.416666666664</v>
      </c>
      <c r="R95" s="86" t="s">
        <v>697</v>
      </c>
      <c r="S95" s="86" t="s">
        <v>117</v>
      </c>
      <c r="T95" s="87">
        <v>20251201</v>
      </c>
      <c r="U95" s="87">
        <v>20251225</v>
      </c>
      <c r="V95" s="86" t="s">
        <v>1004</v>
      </c>
      <c r="W95" s="86" t="s">
        <v>146</v>
      </c>
      <c r="X95" s="86" t="s">
        <v>261</v>
      </c>
      <c r="Y95" s="86" t="s">
        <v>878</v>
      </c>
    </row>
    <row r="96" spans="2:53">
      <c r="B96" s="92" t="s">
        <v>1001</v>
      </c>
      <c r="C96" s="83">
        <v>1</v>
      </c>
      <c r="J96" s="86" t="s">
        <v>145</v>
      </c>
      <c r="K96" s="87">
        <v>0</v>
      </c>
      <c r="L96" s="95">
        <v>45658.416666666664</v>
      </c>
      <c r="M96" s="95">
        <v>45658.416666666664</v>
      </c>
      <c r="N96" s="86" t="s">
        <v>452</v>
      </c>
      <c r="O96" s="95">
        <v>45658.416666666664</v>
      </c>
      <c r="P96" s="86" t="s">
        <v>452</v>
      </c>
      <c r="Q96" s="95">
        <v>45658.416666666664</v>
      </c>
      <c r="R96" s="86" t="s">
        <v>697</v>
      </c>
      <c r="S96" s="86" t="s">
        <v>1002</v>
      </c>
      <c r="T96" s="87">
        <v>20251201</v>
      </c>
      <c r="U96" s="87">
        <v>20261225</v>
      </c>
      <c r="V96" s="86" t="s">
        <v>1005</v>
      </c>
      <c r="W96" s="86" t="s">
        <v>146</v>
      </c>
      <c r="X96" s="86" t="s">
        <v>261</v>
      </c>
      <c r="Y96" s="86" t="s">
        <v>878</v>
      </c>
    </row>
    <row r="97" spans="1:48">
      <c r="B97" s="92" t="s">
        <v>982</v>
      </c>
      <c r="C97" s="83">
        <v>1</v>
      </c>
      <c r="J97" s="86" t="s">
        <v>145</v>
      </c>
      <c r="K97" s="87">
        <v>0</v>
      </c>
      <c r="L97" s="95">
        <v>45658.416666666664</v>
      </c>
      <c r="M97" s="95">
        <v>45658.416666666664</v>
      </c>
      <c r="N97" s="86" t="s">
        <v>452</v>
      </c>
      <c r="O97" s="95">
        <v>45658.416666666664</v>
      </c>
      <c r="P97" s="86" t="s">
        <v>452</v>
      </c>
      <c r="Q97" s="95">
        <v>45658.416666666664</v>
      </c>
      <c r="R97" s="86" t="s">
        <v>697</v>
      </c>
      <c r="S97" s="86" t="s">
        <v>117</v>
      </c>
      <c r="T97" s="87">
        <v>20251226</v>
      </c>
      <c r="U97" s="87">
        <v>20270130</v>
      </c>
      <c r="V97" s="86" t="s">
        <v>1006</v>
      </c>
      <c r="W97" s="86" t="s">
        <v>146</v>
      </c>
      <c r="X97" s="86" t="s">
        <v>261</v>
      </c>
      <c r="Y97" s="86" t="s">
        <v>878</v>
      </c>
    </row>
    <row r="98" spans="1:48">
      <c r="B98" s="92" t="s">
        <v>980</v>
      </c>
      <c r="C98" s="83">
        <v>1</v>
      </c>
      <c r="J98" s="86" t="s">
        <v>456</v>
      </c>
      <c r="K98" s="87">
        <v>0</v>
      </c>
      <c r="L98" s="95">
        <v>45658.416666666664</v>
      </c>
      <c r="M98" s="95">
        <v>45658.416666666664</v>
      </c>
      <c r="N98" s="86" t="s">
        <v>452</v>
      </c>
      <c r="O98" s="95">
        <v>45658.416666666664</v>
      </c>
      <c r="P98" s="86" t="s">
        <v>452</v>
      </c>
      <c r="Q98" s="95">
        <v>45658.416666666664</v>
      </c>
      <c r="R98" s="86" t="s">
        <v>697</v>
      </c>
      <c r="S98" s="86" t="s">
        <v>117</v>
      </c>
      <c r="T98" s="87">
        <v>20250101</v>
      </c>
      <c r="U98" s="87">
        <v>20270130</v>
      </c>
      <c r="V98" s="86" t="s">
        <v>1007</v>
      </c>
      <c r="W98" s="86" t="s">
        <v>146</v>
      </c>
      <c r="X98" s="86" t="s">
        <v>261</v>
      </c>
      <c r="Y98" s="86" t="s">
        <v>878</v>
      </c>
    </row>
    <row r="99" spans="1:48">
      <c r="B99" s="92" t="s">
        <v>979</v>
      </c>
      <c r="C99" s="83" t="s">
        <v>1018</v>
      </c>
      <c r="J99" s="86" t="s">
        <v>145</v>
      </c>
      <c r="K99" s="87">
        <v>0</v>
      </c>
      <c r="L99" s="95">
        <v>45658.416666666664</v>
      </c>
      <c r="M99" s="95">
        <v>45658.416666666664</v>
      </c>
      <c r="N99" s="86" t="s">
        <v>452</v>
      </c>
      <c r="O99" s="95">
        <v>45658.416666666664</v>
      </c>
      <c r="P99" s="86" t="s">
        <v>452</v>
      </c>
      <c r="Q99" s="95">
        <v>45658.416666666664</v>
      </c>
      <c r="R99" s="86" t="s">
        <v>697</v>
      </c>
      <c r="S99" s="86" t="s">
        <v>262</v>
      </c>
      <c r="T99" s="87">
        <v>20250101</v>
      </c>
      <c r="U99" s="87">
        <v>99991231</v>
      </c>
      <c r="V99" s="86" t="s">
        <v>677</v>
      </c>
      <c r="W99" s="86" t="s">
        <v>146</v>
      </c>
      <c r="X99" s="86" t="s">
        <v>261</v>
      </c>
      <c r="Y99" s="86" t="s">
        <v>879</v>
      </c>
    </row>
    <row r="100" spans="1:48">
      <c r="B100" s="92" t="s">
        <v>979</v>
      </c>
      <c r="C100" s="83" t="s">
        <v>1018</v>
      </c>
      <c r="J100" s="86" t="s">
        <v>145</v>
      </c>
      <c r="K100" s="87">
        <v>0</v>
      </c>
      <c r="L100" s="95">
        <v>45658.416666666664</v>
      </c>
      <c r="M100" s="95">
        <v>45658.416666666664</v>
      </c>
      <c r="N100" s="86" t="s">
        <v>452</v>
      </c>
      <c r="O100" s="95">
        <v>45658.416666666664</v>
      </c>
      <c r="P100" s="86" t="s">
        <v>452</v>
      </c>
      <c r="Q100" s="95">
        <v>45658.416666666664</v>
      </c>
      <c r="R100" s="86" t="s">
        <v>697</v>
      </c>
      <c r="S100" s="86" t="s">
        <v>457</v>
      </c>
      <c r="T100" s="87">
        <v>20250101</v>
      </c>
      <c r="U100" s="87">
        <v>99991231</v>
      </c>
      <c r="V100" s="86" t="s">
        <v>678</v>
      </c>
      <c r="W100" s="86" t="s">
        <v>146</v>
      </c>
      <c r="X100" s="86" t="s">
        <v>261</v>
      </c>
      <c r="Y100" s="86" t="s">
        <v>880</v>
      </c>
    </row>
    <row r="101" spans="1:48">
      <c r="B101" s="92" t="s">
        <v>979</v>
      </c>
      <c r="C101" s="83" t="s">
        <v>1018</v>
      </c>
      <c r="J101" s="86" t="s">
        <v>145</v>
      </c>
      <c r="K101" s="87">
        <v>0</v>
      </c>
      <c r="L101" s="95">
        <v>45658.416666666664</v>
      </c>
      <c r="M101" s="95">
        <v>45658.416666666664</v>
      </c>
      <c r="N101" s="86" t="s">
        <v>452</v>
      </c>
      <c r="O101" s="95">
        <v>45658.416666666664</v>
      </c>
      <c r="P101" s="86" t="s">
        <v>452</v>
      </c>
      <c r="Q101" s="95">
        <v>45658.416666666664</v>
      </c>
      <c r="R101" s="86" t="s">
        <v>697</v>
      </c>
      <c r="S101" s="86" t="s">
        <v>458</v>
      </c>
      <c r="T101" s="87">
        <v>20250101</v>
      </c>
      <c r="U101" s="87">
        <v>99991231</v>
      </c>
      <c r="V101" s="86" t="s">
        <v>679</v>
      </c>
      <c r="W101" s="86" t="s">
        <v>146</v>
      </c>
      <c r="X101" s="86" t="s">
        <v>261</v>
      </c>
      <c r="Y101" s="86" t="s">
        <v>881</v>
      </c>
    </row>
    <row r="102" spans="1:48">
      <c r="AD102" s="64" t="s">
        <v>882</v>
      </c>
    </row>
    <row r="103" spans="1:48" ht="18">
      <c r="A103" s="77"/>
      <c r="B103" s="77"/>
      <c r="C103" s="77"/>
      <c r="D103">
        <v>1</v>
      </c>
      <c r="E103" t="s">
        <v>141</v>
      </c>
      <c r="F103" t="s">
        <v>136</v>
      </c>
      <c r="G103" t="s">
        <v>140</v>
      </c>
      <c r="H103" t="s">
        <v>653</v>
      </c>
      <c r="I103" s="77" t="s">
        <v>685</v>
      </c>
      <c r="S103" s="104" t="s">
        <v>753</v>
      </c>
      <c r="T103" s="104" t="s">
        <v>754</v>
      </c>
    </row>
    <row r="104" spans="1:48" ht="21">
      <c r="A104" s="77"/>
      <c r="I104" s="77"/>
      <c r="J104" s="78" t="s">
        <v>41</v>
      </c>
      <c r="K104" s="78" t="s">
        <v>42</v>
      </c>
      <c r="L104" s="78" t="s">
        <v>43</v>
      </c>
      <c r="M104" s="78" t="s">
        <v>44</v>
      </c>
      <c r="N104" s="78" t="s">
        <v>79</v>
      </c>
      <c r="O104" s="78" t="s">
        <v>46</v>
      </c>
      <c r="P104" s="78" t="s">
        <v>80</v>
      </c>
      <c r="Q104" s="78" t="s">
        <v>47</v>
      </c>
      <c r="R104" s="78" t="s">
        <v>81</v>
      </c>
      <c r="S104" s="78" t="s">
        <v>469</v>
      </c>
      <c r="T104" s="78" t="s">
        <v>82</v>
      </c>
      <c r="U104" s="78" t="s">
        <v>83</v>
      </c>
      <c r="V104" s="78" t="s">
        <v>84</v>
      </c>
      <c r="W104" s="78" t="s">
        <v>66</v>
      </c>
      <c r="X104" s="78" t="s">
        <v>470</v>
      </c>
      <c r="Y104" s="78" t="s">
        <v>471</v>
      </c>
      <c r="Z104" s="78" t="s">
        <v>472</v>
      </c>
      <c r="AA104" s="78" t="s">
        <v>473</v>
      </c>
      <c r="AB104" s="78" t="s">
        <v>474</v>
      </c>
      <c r="AC104" s="78" t="s">
        <v>475</v>
      </c>
      <c r="AD104" s="78" t="s">
        <v>884</v>
      </c>
      <c r="AE104" s="78" t="s">
        <v>476</v>
      </c>
      <c r="AF104" s="78" t="s">
        <v>477</v>
      </c>
      <c r="AG104" s="78" t="s">
        <v>478</v>
      </c>
      <c r="AH104" s="78" t="s">
        <v>85</v>
      </c>
      <c r="AI104" s="78" t="s">
        <v>68</v>
      </c>
      <c r="AJ104" s="78" t="s">
        <v>86</v>
      </c>
      <c r="AK104" s="78" t="s">
        <v>87</v>
      </c>
      <c r="AL104" s="78" t="s">
        <v>88</v>
      </c>
      <c r="AM104" s="78" t="s">
        <v>89</v>
      </c>
      <c r="AN104" s="78" t="s">
        <v>90</v>
      </c>
      <c r="AO104" s="78" t="s">
        <v>91</v>
      </c>
      <c r="AP104" s="78" t="s">
        <v>92</v>
      </c>
      <c r="AQ104" s="78" t="s">
        <v>93</v>
      </c>
      <c r="AR104" s="78" t="s">
        <v>94</v>
      </c>
      <c r="AS104" s="78" t="s">
        <v>95</v>
      </c>
      <c r="AT104" s="78" t="s">
        <v>479</v>
      </c>
      <c r="AU104" s="78" t="s">
        <v>480</v>
      </c>
      <c r="AV104" s="78" t="s">
        <v>481</v>
      </c>
    </row>
    <row r="105" spans="1:48" ht="14.25">
      <c r="A105" s="77"/>
      <c r="B105" s="79" t="s">
        <v>74</v>
      </c>
      <c r="C105" s="80" t="s">
        <v>325</v>
      </c>
      <c r="J105" s="78" t="s">
        <v>51</v>
      </c>
      <c r="K105" s="78" t="s">
        <v>52</v>
      </c>
      <c r="L105" s="78" t="s">
        <v>53</v>
      </c>
      <c r="M105" s="78" t="s">
        <v>54</v>
      </c>
      <c r="N105" s="78" t="s">
        <v>55</v>
      </c>
      <c r="O105" s="78" t="s">
        <v>56</v>
      </c>
      <c r="P105" s="78" t="s">
        <v>57</v>
      </c>
      <c r="Q105" s="78" t="s">
        <v>58</v>
      </c>
      <c r="R105" s="78" t="s">
        <v>59</v>
      </c>
      <c r="S105" s="78" t="s">
        <v>482</v>
      </c>
      <c r="T105" s="78" t="s">
        <v>60</v>
      </c>
      <c r="U105" s="78" t="s">
        <v>61</v>
      </c>
      <c r="V105" s="78" t="s">
        <v>96</v>
      </c>
      <c r="W105" s="78" t="s">
        <v>67</v>
      </c>
      <c r="X105" s="78" t="s">
        <v>483</v>
      </c>
      <c r="Y105" s="78" t="s">
        <v>484</v>
      </c>
      <c r="Z105" s="78" t="s">
        <v>485</v>
      </c>
      <c r="AA105" s="78" t="s">
        <v>486</v>
      </c>
      <c r="AB105" s="78" t="s">
        <v>487</v>
      </c>
      <c r="AC105" s="78" t="s">
        <v>488</v>
      </c>
      <c r="AD105" s="78" t="s">
        <v>883</v>
      </c>
      <c r="AE105" s="78" t="s">
        <v>489</v>
      </c>
      <c r="AF105" s="78" t="s">
        <v>490</v>
      </c>
      <c r="AG105" s="78" t="s">
        <v>491</v>
      </c>
      <c r="AH105" s="78" t="s">
        <v>97</v>
      </c>
      <c r="AI105" s="78" t="s">
        <v>69</v>
      </c>
      <c r="AJ105" s="78" t="s">
        <v>98</v>
      </c>
      <c r="AK105" s="78" t="s">
        <v>99</v>
      </c>
      <c r="AL105" s="78" t="s">
        <v>100</v>
      </c>
      <c r="AM105" s="78" t="s">
        <v>101</v>
      </c>
      <c r="AN105" s="78" t="s">
        <v>102</v>
      </c>
      <c r="AO105" s="78" t="s">
        <v>103</v>
      </c>
      <c r="AP105" s="78" t="s">
        <v>104</v>
      </c>
      <c r="AQ105" s="78" t="s">
        <v>105</v>
      </c>
      <c r="AR105" s="78" t="s">
        <v>106</v>
      </c>
      <c r="AS105" s="78" t="s">
        <v>107</v>
      </c>
      <c r="AT105" s="78" t="s">
        <v>108</v>
      </c>
      <c r="AU105" s="78" t="s">
        <v>109</v>
      </c>
      <c r="AV105" s="78" t="s">
        <v>110</v>
      </c>
    </row>
    <row r="106" spans="1:48">
      <c r="B106" s="92" t="s">
        <v>979</v>
      </c>
      <c r="C106" s="83">
        <v>1</v>
      </c>
      <c r="J106" s="86" t="s">
        <v>145</v>
      </c>
      <c r="K106" s="87">
        <v>0</v>
      </c>
      <c r="L106" s="96">
        <v>45658</v>
      </c>
      <c r="M106" s="96">
        <v>45658</v>
      </c>
      <c r="N106" s="86" t="s">
        <v>791</v>
      </c>
      <c r="O106" s="96">
        <v>45658</v>
      </c>
      <c r="P106" s="86" t="s">
        <v>791</v>
      </c>
      <c r="Q106" s="96">
        <v>45658</v>
      </c>
      <c r="R106" s="86" t="s">
        <v>791</v>
      </c>
      <c r="S106" s="86" t="s">
        <v>792</v>
      </c>
      <c r="T106" s="87">
        <v>20251201</v>
      </c>
      <c r="U106" s="87">
        <v>20251225</v>
      </c>
      <c r="V106" s="86" t="s">
        <v>983</v>
      </c>
      <c r="W106" s="86" t="s">
        <v>261</v>
      </c>
      <c r="X106" s="86" t="s">
        <v>261</v>
      </c>
      <c r="Y106" s="86" t="s">
        <v>261</v>
      </c>
      <c r="Z106" s="86" t="s">
        <v>792</v>
      </c>
      <c r="AA106" s="86" t="s">
        <v>792</v>
      </c>
      <c r="AB106" s="86" t="s">
        <v>792</v>
      </c>
      <c r="AC106" s="86" t="s">
        <v>146</v>
      </c>
      <c r="AD106" s="86" t="s">
        <v>793</v>
      </c>
      <c r="AE106" s="86" t="s">
        <v>793</v>
      </c>
      <c r="AF106" s="86" t="s">
        <v>794</v>
      </c>
      <c r="AG106" s="86" t="s">
        <v>794</v>
      </c>
      <c r="AH106" s="86" t="s">
        <v>795</v>
      </c>
      <c r="AI106" s="86" t="s">
        <v>796</v>
      </c>
      <c r="AJ106" s="86" t="s">
        <v>797</v>
      </c>
      <c r="AK106" s="86" t="s">
        <v>798</v>
      </c>
      <c r="AL106" s="86" t="s">
        <v>798</v>
      </c>
      <c r="AM106" s="86" t="s">
        <v>799</v>
      </c>
      <c r="AN106" s="86" t="s">
        <v>799</v>
      </c>
      <c r="AO106" s="86" t="s">
        <v>800</v>
      </c>
      <c r="AP106" s="86" t="s">
        <v>800</v>
      </c>
      <c r="AQ106" s="86" t="s">
        <v>113</v>
      </c>
      <c r="AR106" s="86" t="s">
        <v>801</v>
      </c>
      <c r="AS106" s="86" t="s">
        <v>802</v>
      </c>
      <c r="AT106" s="86" t="s">
        <v>113</v>
      </c>
      <c r="AU106" s="86" t="s">
        <v>801</v>
      </c>
      <c r="AV106" s="86" t="s">
        <v>803</v>
      </c>
    </row>
    <row r="107" spans="1:48">
      <c r="B107" s="92" t="s">
        <v>981</v>
      </c>
      <c r="C107" s="83">
        <v>1</v>
      </c>
      <c r="J107" s="86" t="s">
        <v>145</v>
      </c>
      <c r="K107" s="87">
        <v>0</v>
      </c>
      <c r="L107" s="96">
        <v>45658</v>
      </c>
      <c r="M107" s="96">
        <v>45658</v>
      </c>
      <c r="N107" s="86" t="s">
        <v>791</v>
      </c>
      <c r="O107" s="96">
        <v>45658</v>
      </c>
      <c r="P107" s="86" t="s">
        <v>791</v>
      </c>
      <c r="Q107" s="96">
        <v>45658</v>
      </c>
      <c r="R107" s="86" t="s">
        <v>791</v>
      </c>
      <c r="S107" s="86" t="s">
        <v>804</v>
      </c>
      <c r="T107" s="87">
        <v>20251201</v>
      </c>
      <c r="U107" s="87">
        <v>20261225</v>
      </c>
      <c r="V107" s="86" t="s">
        <v>985</v>
      </c>
      <c r="W107" s="86" t="s">
        <v>111</v>
      </c>
      <c r="X107" s="86" t="s">
        <v>261</v>
      </c>
      <c r="Y107" s="86" t="s">
        <v>261</v>
      </c>
      <c r="Z107" s="86" t="s">
        <v>792</v>
      </c>
      <c r="AA107" s="86" t="s">
        <v>792</v>
      </c>
      <c r="AB107" s="86" t="s">
        <v>792</v>
      </c>
      <c r="AC107" s="86" t="s">
        <v>146</v>
      </c>
      <c r="AD107" s="86" t="s">
        <v>984</v>
      </c>
      <c r="AE107" s="86" t="s">
        <v>805</v>
      </c>
      <c r="AF107" s="86" t="s">
        <v>806</v>
      </c>
      <c r="AG107" s="86" t="s">
        <v>806</v>
      </c>
      <c r="AH107" s="86" t="s">
        <v>807</v>
      </c>
      <c r="AI107" s="86" t="s">
        <v>796</v>
      </c>
      <c r="AJ107" s="86" t="s">
        <v>797</v>
      </c>
      <c r="AK107" s="86" t="s">
        <v>808</v>
      </c>
      <c r="AL107" s="86" t="s">
        <v>808</v>
      </c>
      <c r="AM107" s="86" t="s">
        <v>799</v>
      </c>
      <c r="AN107" s="86" t="s">
        <v>799</v>
      </c>
      <c r="AO107" s="86" t="s">
        <v>800</v>
      </c>
      <c r="AP107" s="86" t="s">
        <v>800</v>
      </c>
      <c r="AQ107" s="86" t="s">
        <v>113</v>
      </c>
      <c r="AR107" s="86" t="s">
        <v>801</v>
      </c>
      <c r="AS107" s="86" t="s">
        <v>77</v>
      </c>
      <c r="AT107" s="86" t="s">
        <v>113</v>
      </c>
      <c r="AU107" s="86" t="s">
        <v>801</v>
      </c>
      <c r="AV107" s="86" t="s">
        <v>809</v>
      </c>
    </row>
    <row r="108" spans="1:48">
      <c r="B108" s="92" t="s">
        <v>982</v>
      </c>
      <c r="C108" s="83">
        <v>1</v>
      </c>
      <c r="J108" s="86" t="s">
        <v>145</v>
      </c>
      <c r="K108" s="87">
        <v>0</v>
      </c>
      <c r="L108" s="96">
        <v>45658</v>
      </c>
      <c r="M108" s="96">
        <v>45658</v>
      </c>
      <c r="N108" s="86" t="s">
        <v>791</v>
      </c>
      <c r="O108" s="96">
        <v>45658</v>
      </c>
      <c r="P108" s="86" t="s">
        <v>791</v>
      </c>
      <c r="Q108" s="96">
        <v>45658</v>
      </c>
      <c r="R108" s="86" t="s">
        <v>791</v>
      </c>
      <c r="S108" s="86" t="s">
        <v>810</v>
      </c>
      <c r="T108" s="87">
        <v>20251226</v>
      </c>
      <c r="U108" s="87">
        <v>20270130</v>
      </c>
      <c r="V108" s="86" t="s">
        <v>983</v>
      </c>
      <c r="W108" s="86" t="s">
        <v>261</v>
      </c>
      <c r="X108" s="86" t="s">
        <v>261</v>
      </c>
      <c r="Y108" s="86" t="s">
        <v>261</v>
      </c>
      <c r="Z108" s="86" t="s">
        <v>792</v>
      </c>
      <c r="AA108" s="86" t="s">
        <v>792</v>
      </c>
      <c r="AB108" s="86" t="s">
        <v>792</v>
      </c>
      <c r="AC108" s="86" t="s">
        <v>146</v>
      </c>
      <c r="AD108" s="86" t="s">
        <v>811</v>
      </c>
      <c r="AE108" s="86" t="s">
        <v>811</v>
      </c>
      <c r="AF108" s="86" t="s">
        <v>812</v>
      </c>
      <c r="AG108" s="86" t="s">
        <v>812</v>
      </c>
      <c r="AH108" s="86" t="s">
        <v>813</v>
      </c>
      <c r="AI108" s="86" t="s">
        <v>796</v>
      </c>
      <c r="AJ108" s="86" t="s">
        <v>797</v>
      </c>
      <c r="AK108" s="86" t="s">
        <v>814</v>
      </c>
      <c r="AL108" s="86" t="s">
        <v>814</v>
      </c>
      <c r="AM108" s="86" t="s">
        <v>799</v>
      </c>
      <c r="AN108" s="86" t="s">
        <v>799</v>
      </c>
      <c r="AO108" s="86" t="s">
        <v>800</v>
      </c>
      <c r="AP108" s="86" t="s">
        <v>800</v>
      </c>
      <c r="AQ108" s="86" t="s">
        <v>113</v>
      </c>
      <c r="AR108" s="86" t="s">
        <v>801</v>
      </c>
      <c r="AS108" s="86" t="s">
        <v>78</v>
      </c>
      <c r="AT108" s="86" t="s">
        <v>113</v>
      </c>
      <c r="AU108" s="86" t="s">
        <v>801</v>
      </c>
      <c r="AV108" s="86" t="s">
        <v>815</v>
      </c>
    </row>
    <row r="109" spans="1:48">
      <c r="B109" s="92" t="s">
        <v>980</v>
      </c>
      <c r="C109" s="83">
        <v>1</v>
      </c>
      <c r="J109" s="86" t="s">
        <v>456</v>
      </c>
      <c r="K109" s="87">
        <v>0</v>
      </c>
      <c r="L109" s="96">
        <v>45658</v>
      </c>
      <c r="M109" s="96">
        <v>45658</v>
      </c>
      <c r="N109" s="86" t="s">
        <v>791</v>
      </c>
      <c r="O109" s="96">
        <v>45658</v>
      </c>
      <c r="P109" s="86" t="s">
        <v>791</v>
      </c>
      <c r="Q109" s="96">
        <v>45658</v>
      </c>
      <c r="R109" s="86" t="s">
        <v>791</v>
      </c>
      <c r="S109" s="86" t="s">
        <v>1034</v>
      </c>
      <c r="T109" s="87">
        <v>20250101</v>
      </c>
      <c r="U109" s="87">
        <v>20270130</v>
      </c>
      <c r="V109" s="86" t="s">
        <v>983</v>
      </c>
      <c r="W109" s="86" t="s">
        <v>261</v>
      </c>
      <c r="X109" s="86" t="s">
        <v>261</v>
      </c>
      <c r="Y109" s="86" t="s">
        <v>261</v>
      </c>
      <c r="Z109" s="86" t="s">
        <v>792</v>
      </c>
      <c r="AA109" s="86" t="s">
        <v>792</v>
      </c>
      <c r="AB109" s="86" t="s">
        <v>792</v>
      </c>
      <c r="AC109" s="86" t="s">
        <v>146</v>
      </c>
      <c r="AD109" s="86" t="s">
        <v>817</v>
      </c>
      <c r="AE109" s="86" t="s">
        <v>817</v>
      </c>
      <c r="AF109" s="86" t="s">
        <v>818</v>
      </c>
      <c r="AG109" s="86" t="s">
        <v>818</v>
      </c>
      <c r="AH109" s="86" t="s">
        <v>819</v>
      </c>
      <c r="AI109" s="86" t="s">
        <v>796</v>
      </c>
      <c r="AJ109" s="86" t="s">
        <v>797</v>
      </c>
      <c r="AK109" s="86" t="s">
        <v>820</v>
      </c>
      <c r="AL109" s="86" t="s">
        <v>820</v>
      </c>
      <c r="AM109" s="86" t="s">
        <v>799</v>
      </c>
      <c r="AN109" s="86" t="s">
        <v>799</v>
      </c>
      <c r="AO109" s="86" t="s">
        <v>800</v>
      </c>
      <c r="AP109" s="86" t="s">
        <v>800</v>
      </c>
      <c r="AQ109" s="86" t="s">
        <v>113</v>
      </c>
      <c r="AR109" s="86" t="s">
        <v>801</v>
      </c>
      <c r="AS109" s="86" t="s">
        <v>118</v>
      </c>
      <c r="AT109" s="86" t="s">
        <v>113</v>
      </c>
      <c r="AU109" s="86" t="s">
        <v>801</v>
      </c>
      <c r="AV109" s="86" t="s">
        <v>821</v>
      </c>
    </row>
    <row r="110" spans="1:48">
      <c r="B110" s="92" t="s">
        <v>979</v>
      </c>
      <c r="C110" s="83" t="s">
        <v>1018</v>
      </c>
      <c r="J110" s="86" t="s">
        <v>145</v>
      </c>
      <c r="K110" s="87">
        <v>0</v>
      </c>
      <c r="L110" s="96">
        <v>45658</v>
      </c>
      <c r="M110" s="96">
        <v>45658</v>
      </c>
      <c r="N110" s="86" t="s">
        <v>791</v>
      </c>
      <c r="O110" s="96">
        <v>45658</v>
      </c>
      <c r="P110" s="86" t="s">
        <v>791</v>
      </c>
      <c r="Q110" s="96">
        <v>45658</v>
      </c>
      <c r="R110" s="86" t="s">
        <v>791</v>
      </c>
      <c r="S110" s="86" t="s">
        <v>816</v>
      </c>
      <c r="T110" s="87">
        <v>20250101</v>
      </c>
      <c r="U110" s="87">
        <v>99991231</v>
      </c>
      <c r="V110" s="86" t="s">
        <v>661</v>
      </c>
      <c r="W110" s="86" t="s">
        <v>261</v>
      </c>
      <c r="X110" s="86" t="s">
        <v>261</v>
      </c>
      <c r="Y110" s="86" t="s">
        <v>261</v>
      </c>
      <c r="Z110" s="86" t="s">
        <v>792</v>
      </c>
      <c r="AA110" s="86" t="s">
        <v>792</v>
      </c>
      <c r="AB110" s="86" t="s">
        <v>792</v>
      </c>
      <c r="AC110" s="86" t="s">
        <v>146</v>
      </c>
      <c r="AD110" s="86" t="s">
        <v>817</v>
      </c>
      <c r="AE110" s="86" t="s">
        <v>817</v>
      </c>
      <c r="AF110" s="86" t="s">
        <v>818</v>
      </c>
      <c r="AG110" s="86" t="s">
        <v>818</v>
      </c>
      <c r="AH110" s="86" t="s">
        <v>819</v>
      </c>
      <c r="AI110" s="86" t="s">
        <v>796</v>
      </c>
      <c r="AJ110" s="86" t="s">
        <v>797</v>
      </c>
      <c r="AK110" s="86" t="s">
        <v>820</v>
      </c>
      <c r="AL110" s="86" t="s">
        <v>820</v>
      </c>
      <c r="AM110" s="86" t="s">
        <v>799</v>
      </c>
      <c r="AN110" s="86" t="s">
        <v>799</v>
      </c>
      <c r="AO110" s="86" t="s">
        <v>800</v>
      </c>
      <c r="AP110" s="86" t="s">
        <v>800</v>
      </c>
      <c r="AQ110" s="86" t="s">
        <v>113</v>
      </c>
      <c r="AR110" s="86" t="s">
        <v>801</v>
      </c>
      <c r="AS110" s="86" t="s">
        <v>118</v>
      </c>
      <c r="AT110" s="86" t="s">
        <v>113</v>
      </c>
      <c r="AU110" s="86" t="s">
        <v>801</v>
      </c>
      <c r="AV110" s="86" t="s">
        <v>821</v>
      </c>
    </row>
    <row r="111" spans="1:48">
      <c r="B111" s="92" t="s">
        <v>979</v>
      </c>
      <c r="C111" s="83" t="s">
        <v>1018</v>
      </c>
      <c r="J111" s="86" t="s">
        <v>145</v>
      </c>
      <c r="K111" s="87">
        <v>0</v>
      </c>
      <c r="L111" s="96">
        <v>45658</v>
      </c>
      <c r="M111" s="96">
        <v>45658</v>
      </c>
      <c r="N111" s="86" t="s">
        <v>791</v>
      </c>
      <c r="O111" s="96">
        <v>45658</v>
      </c>
      <c r="P111" s="86" t="s">
        <v>791</v>
      </c>
      <c r="Q111" s="96">
        <v>45658</v>
      </c>
      <c r="R111" s="86" t="s">
        <v>791</v>
      </c>
      <c r="S111" s="86" t="s">
        <v>822</v>
      </c>
      <c r="T111" s="87">
        <v>20250101</v>
      </c>
      <c r="U111" s="87">
        <v>99991231</v>
      </c>
      <c r="V111" s="86" t="s">
        <v>1021</v>
      </c>
      <c r="W111" s="86" t="s">
        <v>261</v>
      </c>
      <c r="X111" s="86" t="s">
        <v>261</v>
      </c>
      <c r="Y111" s="86" t="s">
        <v>261</v>
      </c>
      <c r="Z111" s="86" t="s">
        <v>792</v>
      </c>
      <c r="AA111" s="86" t="s">
        <v>792</v>
      </c>
      <c r="AB111" s="86" t="s">
        <v>792</v>
      </c>
      <c r="AC111" s="86" t="s">
        <v>146</v>
      </c>
      <c r="AD111" s="86" t="s">
        <v>823</v>
      </c>
      <c r="AE111" s="86" t="s">
        <v>823</v>
      </c>
      <c r="AF111" s="86" t="s">
        <v>824</v>
      </c>
      <c r="AG111" s="86" t="s">
        <v>824</v>
      </c>
      <c r="AH111" s="86" t="s">
        <v>825</v>
      </c>
      <c r="AI111" s="86" t="s">
        <v>796</v>
      </c>
      <c r="AJ111" s="86" t="s">
        <v>797</v>
      </c>
      <c r="AK111" s="86" t="s">
        <v>826</v>
      </c>
      <c r="AL111" s="86" t="s">
        <v>826</v>
      </c>
      <c r="AM111" s="86" t="s">
        <v>799</v>
      </c>
      <c r="AN111" s="86" t="s">
        <v>799</v>
      </c>
      <c r="AO111" s="86" t="s">
        <v>800</v>
      </c>
      <c r="AP111" s="86" t="s">
        <v>800</v>
      </c>
      <c r="AQ111" s="86" t="s">
        <v>113</v>
      </c>
      <c r="AR111" s="86" t="s">
        <v>801</v>
      </c>
      <c r="AS111" s="86" t="s">
        <v>119</v>
      </c>
      <c r="AT111" s="86" t="s">
        <v>113</v>
      </c>
      <c r="AU111" s="86" t="s">
        <v>801</v>
      </c>
      <c r="AV111" s="86" t="s">
        <v>827</v>
      </c>
    </row>
    <row r="112" spans="1:48">
      <c r="B112" s="92" t="s">
        <v>979</v>
      </c>
      <c r="C112" s="83" t="s">
        <v>1018</v>
      </c>
      <c r="J112" s="86" t="s">
        <v>145</v>
      </c>
      <c r="K112" s="87">
        <v>0</v>
      </c>
      <c r="L112" s="96">
        <v>45658</v>
      </c>
      <c r="M112" s="96">
        <v>45658</v>
      </c>
      <c r="N112" s="86" t="s">
        <v>791</v>
      </c>
      <c r="O112" s="96">
        <v>45658</v>
      </c>
      <c r="P112" s="86" t="s">
        <v>791</v>
      </c>
      <c r="Q112" s="96">
        <v>45658</v>
      </c>
      <c r="R112" s="86" t="s">
        <v>791</v>
      </c>
      <c r="S112" s="86" t="s">
        <v>828</v>
      </c>
      <c r="T112" s="87">
        <v>20250101</v>
      </c>
      <c r="U112" s="87">
        <v>99991231</v>
      </c>
      <c r="V112" s="86" t="s">
        <v>664</v>
      </c>
      <c r="W112" s="86" t="s">
        <v>261</v>
      </c>
      <c r="X112" s="86" t="s">
        <v>261</v>
      </c>
      <c r="Y112" s="86" t="s">
        <v>261</v>
      </c>
      <c r="Z112" s="86" t="s">
        <v>792</v>
      </c>
      <c r="AA112" s="86" t="s">
        <v>792</v>
      </c>
      <c r="AB112" s="86" t="s">
        <v>792</v>
      </c>
      <c r="AC112" s="86" t="s">
        <v>146</v>
      </c>
      <c r="AD112" s="86" t="s">
        <v>829</v>
      </c>
      <c r="AE112" s="86" t="s">
        <v>829</v>
      </c>
      <c r="AF112" s="86" t="s">
        <v>830</v>
      </c>
      <c r="AG112" s="86" t="s">
        <v>830</v>
      </c>
      <c r="AH112" s="86" t="s">
        <v>831</v>
      </c>
      <c r="AI112" s="86" t="s">
        <v>796</v>
      </c>
      <c r="AJ112" s="86" t="s">
        <v>797</v>
      </c>
      <c r="AK112" s="86" t="s">
        <v>832</v>
      </c>
      <c r="AL112" s="86" t="s">
        <v>832</v>
      </c>
      <c r="AM112" s="86" t="s">
        <v>799</v>
      </c>
      <c r="AN112" s="86" t="s">
        <v>799</v>
      </c>
      <c r="AO112" s="86" t="s">
        <v>800</v>
      </c>
      <c r="AP112" s="86" t="s">
        <v>800</v>
      </c>
      <c r="AQ112" s="86" t="s">
        <v>113</v>
      </c>
      <c r="AR112" s="86" t="s">
        <v>801</v>
      </c>
      <c r="AS112" s="86" t="s">
        <v>120</v>
      </c>
      <c r="AT112" s="86" t="s">
        <v>113</v>
      </c>
      <c r="AU112" s="86" t="s">
        <v>801</v>
      </c>
      <c r="AV112" s="86" t="s">
        <v>833</v>
      </c>
    </row>
    <row r="113" spans="2:126">
      <c r="B113" s="94"/>
      <c r="C113" s="93"/>
      <c r="E113" s="77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</row>
    <row r="114" spans="2:126">
      <c r="B114" s="94"/>
      <c r="C114" s="93"/>
      <c r="E114" s="77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</row>
    <row r="115" spans="2:126">
      <c r="B115" s="94"/>
      <c r="C115" s="93"/>
      <c r="E115" s="77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</row>
    <row r="117" spans="2:126">
      <c r="Y117" s="64" t="s">
        <v>769</v>
      </c>
    </row>
    <row r="118" spans="2:126">
      <c r="B118" s="77"/>
      <c r="C118" s="77"/>
      <c r="D118">
        <v>1</v>
      </c>
      <c r="E118" t="s">
        <v>141</v>
      </c>
      <c r="F118" t="s">
        <v>136</v>
      </c>
      <c r="G118" t="s">
        <v>140</v>
      </c>
      <c r="H118" t="s">
        <v>652</v>
      </c>
      <c r="I118" s="77" t="s">
        <v>657</v>
      </c>
      <c r="S118" s="104" t="s">
        <v>753</v>
      </c>
      <c r="T118" s="104" t="s">
        <v>754</v>
      </c>
    </row>
    <row r="119" spans="2:126" ht="14.25">
      <c r="I119" s="77"/>
      <c r="J119" s="78" t="s">
        <v>41</v>
      </c>
      <c r="K119" s="78" t="s">
        <v>42</v>
      </c>
      <c r="L119" s="78" t="s">
        <v>43</v>
      </c>
      <c r="M119" s="78" t="s">
        <v>44</v>
      </c>
      <c r="N119" s="78" t="s">
        <v>79</v>
      </c>
      <c r="O119" s="78" t="s">
        <v>46</v>
      </c>
      <c r="P119" s="78" t="s">
        <v>80</v>
      </c>
      <c r="Q119" s="78" t="s">
        <v>47</v>
      </c>
      <c r="R119" s="78" t="s">
        <v>81</v>
      </c>
      <c r="S119" s="78" t="s">
        <v>888</v>
      </c>
      <c r="T119" s="78" t="s">
        <v>82</v>
      </c>
      <c r="U119" s="78" t="s">
        <v>83</v>
      </c>
      <c r="V119" s="78" t="s">
        <v>267</v>
      </c>
      <c r="W119" s="78" t="s">
        <v>268</v>
      </c>
      <c r="X119" s="78" t="s">
        <v>269</v>
      </c>
      <c r="Y119" s="78" t="s">
        <v>270</v>
      </c>
      <c r="Z119" s="78" t="s">
        <v>271</v>
      </c>
      <c r="AA119" s="78" t="s">
        <v>272</v>
      </c>
      <c r="AB119" s="78" t="s">
        <v>273</v>
      </c>
      <c r="AC119" s="78" t="s">
        <v>274</v>
      </c>
      <c r="AD119" s="78" t="s">
        <v>275</v>
      </c>
      <c r="AE119" s="78" t="s">
        <v>276</v>
      </c>
      <c r="AF119" s="78" t="s">
        <v>494</v>
      </c>
      <c r="AG119" s="78" t="s">
        <v>495</v>
      </c>
      <c r="AH119" s="78" t="s">
        <v>277</v>
      </c>
      <c r="AI119" s="78" t="s">
        <v>278</v>
      </c>
      <c r="AJ119" s="78" t="s">
        <v>279</v>
      </c>
      <c r="AK119" s="78" t="s">
        <v>280</v>
      </c>
      <c r="AL119" s="78" t="s">
        <v>496</v>
      </c>
      <c r="AM119" s="78" t="s">
        <v>497</v>
      </c>
      <c r="AN119" s="78" t="s">
        <v>498</v>
      </c>
      <c r="AO119" s="78" t="s">
        <v>499</v>
      </c>
      <c r="AP119" s="78" t="s">
        <v>500</v>
      </c>
      <c r="AQ119" s="78" t="s">
        <v>501</v>
      </c>
      <c r="AR119" s="78" t="s">
        <v>502</v>
      </c>
      <c r="AS119" s="78" t="s">
        <v>503</v>
      </c>
      <c r="AT119" s="78" t="s">
        <v>504</v>
      </c>
      <c r="AU119" s="78" t="s">
        <v>505</v>
      </c>
      <c r="AV119" s="78" t="s">
        <v>506</v>
      </c>
      <c r="AW119" s="78" t="s">
        <v>507</v>
      </c>
      <c r="AX119" s="78" t="s">
        <v>508</v>
      </c>
      <c r="AY119" s="78" t="s">
        <v>509</v>
      </c>
      <c r="AZ119" s="78" t="s">
        <v>510</v>
      </c>
      <c r="BA119" s="78" t="s">
        <v>511</v>
      </c>
      <c r="BB119" s="78" t="s">
        <v>512</v>
      </c>
      <c r="BC119" s="78" t="s">
        <v>513</v>
      </c>
      <c r="BD119" s="78" t="s">
        <v>514</v>
      </c>
      <c r="BE119" s="78" t="s">
        <v>515</v>
      </c>
      <c r="BF119" s="78" t="s">
        <v>516</v>
      </c>
      <c r="BG119" s="78" t="s">
        <v>517</v>
      </c>
      <c r="BH119" s="78" t="s">
        <v>518</v>
      </c>
      <c r="BI119" s="78" t="s">
        <v>519</v>
      </c>
      <c r="BJ119" s="78" t="s">
        <v>520</v>
      </c>
      <c r="BK119" s="78" t="s">
        <v>521</v>
      </c>
      <c r="BL119" s="78" t="s">
        <v>522</v>
      </c>
      <c r="BM119" s="78" t="s">
        <v>523</v>
      </c>
      <c r="BN119" s="78" t="s">
        <v>524</v>
      </c>
      <c r="BO119" s="78" t="s">
        <v>525</v>
      </c>
      <c r="BP119" s="78" t="s">
        <v>526</v>
      </c>
      <c r="BQ119" s="78" t="s">
        <v>527</v>
      </c>
      <c r="BR119" s="78" t="s">
        <v>528</v>
      </c>
      <c r="BS119" s="78" t="s">
        <v>529</v>
      </c>
      <c r="BT119" s="78" t="s">
        <v>530</v>
      </c>
      <c r="BU119" s="78" t="s">
        <v>531</v>
      </c>
      <c r="BV119" s="78" t="s">
        <v>532</v>
      </c>
      <c r="BW119" s="78" t="s">
        <v>533</v>
      </c>
      <c r="BX119" s="78" t="s">
        <v>534</v>
      </c>
      <c r="BY119" s="78" t="s">
        <v>535</v>
      </c>
      <c r="BZ119" s="78" t="s">
        <v>536</v>
      </c>
      <c r="CA119" s="78" t="s">
        <v>537</v>
      </c>
      <c r="CB119" s="78" t="s">
        <v>538</v>
      </c>
      <c r="CC119" s="78" t="s">
        <v>539</v>
      </c>
      <c r="CD119" s="78" t="s">
        <v>540</v>
      </c>
      <c r="CE119" s="78" t="s">
        <v>281</v>
      </c>
      <c r="CF119" s="78" t="s">
        <v>282</v>
      </c>
      <c r="CG119" s="78" t="s">
        <v>283</v>
      </c>
      <c r="CH119" s="78" t="s">
        <v>284</v>
      </c>
      <c r="CI119" s="78" t="s">
        <v>285</v>
      </c>
      <c r="CJ119" s="78" t="s">
        <v>286</v>
      </c>
      <c r="CK119" s="78" t="s">
        <v>287</v>
      </c>
      <c r="CL119" s="78" t="s">
        <v>288</v>
      </c>
      <c r="CM119" s="78" t="s">
        <v>289</v>
      </c>
      <c r="CN119" s="78" t="s">
        <v>290</v>
      </c>
      <c r="CO119" s="78" t="s">
        <v>291</v>
      </c>
      <c r="CP119" s="78" t="s">
        <v>292</v>
      </c>
      <c r="CQ119" s="78" t="s">
        <v>293</v>
      </c>
      <c r="CR119" s="78" t="s">
        <v>294</v>
      </c>
      <c r="CS119" s="78" t="s">
        <v>295</v>
      </c>
      <c r="CT119" s="78" t="s">
        <v>296</v>
      </c>
      <c r="CU119" s="78" t="s">
        <v>297</v>
      </c>
      <c r="CV119" s="78" t="s">
        <v>298</v>
      </c>
      <c r="CW119" s="78" t="s">
        <v>299</v>
      </c>
      <c r="CX119" s="78" t="s">
        <v>300</v>
      </c>
      <c r="CY119" s="78" t="s">
        <v>301</v>
      </c>
      <c r="CZ119" s="78" t="s">
        <v>302</v>
      </c>
      <c r="DA119" s="78" t="s">
        <v>303</v>
      </c>
      <c r="DB119" s="78" t="s">
        <v>304</v>
      </c>
      <c r="DC119" s="78" t="s">
        <v>305</v>
      </c>
      <c r="DD119" s="78" t="s">
        <v>306</v>
      </c>
      <c r="DE119" s="78" t="s">
        <v>307</v>
      </c>
      <c r="DF119" s="78" t="s">
        <v>308</v>
      </c>
      <c r="DG119" s="78" t="s">
        <v>309</v>
      </c>
      <c r="DH119" s="78" t="s">
        <v>310</v>
      </c>
      <c r="DI119" s="78" t="s">
        <v>311</v>
      </c>
      <c r="DJ119" s="78" t="s">
        <v>312</v>
      </c>
      <c r="DK119" s="78" t="s">
        <v>313</v>
      </c>
      <c r="DL119" s="78" t="s">
        <v>314</v>
      </c>
      <c r="DM119" s="78" t="s">
        <v>315</v>
      </c>
      <c r="DN119" s="78" t="s">
        <v>316</v>
      </c>
      <c r="DO119" s="78" t="s">
        <v>317</v>
      </c>
      <c r="DP119" s="78" t="s">
        <v>318</v>
      </c>
      <c r="DQ119" s="78" t="s">
        <v>319</v>
      </c>
      <c r="DR119" s="78" t="s">
        <v>320</v>
      </c>
      <c r="DS119" s="78" t="s">
        <v>321</v>
      </c>
      <c r="DT119" s="78" t="s">
        <v>322</v>
      </c>
      <c r="DU119" s="78" t="s">
        <v>323</v>
      </c>
      <c r="DV119" s="78" t="s">
        <v>324</v>
      </c>
    </row>
    <row r="120" spans="2:126" ht="14.25">
      <c r="B120" s="79" t="s">
        <v>74</v>
      </c>
      <c r="C120" s="80" t="s">
        <v>325</v>
      </c>
      <c r="J120" s="78" t="s">
        <v>51</v>
      </c>
      <c r="K120" s="78" t="s">
        <v>52</v>
      </c>
      <c r="L120" s="78" t="s">
        <v>53</v>
      </c>
      <c r="M120" s="78" t="s">
        <v>54</v>
      </c>
      <c r="N120" s="78" t="s">
        <v>55</v>
      </c>
      <c r="O120" s="78" t="s">
        <v>56</v>
      </c>
      <c r="P120" s="78" t="s">
        <v>57</v>
      </c>
      <c r="Q120" s="78" t="s">
        <v>58</v>
      </c>
      <c r="R120" s="78" t="s">
        <v>59</v>
      </c>
      <c r="S120" s="78" t="s">
        <v>154</v>
      </c>
      <c r="T120" s="78" t="s">
        <v>60</v>
      </c>
      <c r="U120" s="78" t="s">
        <v>61</v>
      </c>
      <c r="V120" s="78" t="s">
        <v>155</v>
      </c>
      <c r="W120" s="78" t="s">
        <v>156</v>
      </c>
      <c r="X120" s="78" t="s">
        <v>157</v>
      </c>
      <c r="Y120" s="78" t="s">
        <v>158</v>
      </c>
      <c r="Z120" s="78" t="s">
        <v>159</v>
      </c>
      <c r="AA120" s="78" t="s">
        <v>160</v>
      </c>
      <c r="AB120" s="78" t="s">
        <v>161</v>
      </c>
      <c r="AC120" s="78" t="s">
        <v>162</v>
      </c>
      <c r="AD120" s="78" t="s">
        <v>163</v>
      </c>
      <c r="AE120" s="78" t="s">
        <v>164</v>
      </c>
      <c r="AF120" s="78" t="s">
        <v>165</v>
      </c>
      <c r="AG120" s="78" t="s">
        <v>166</v>
      </c>
      <c r="AH120" s="78" t="s">
        <v>167</v>
      </c>
      <c r="AI120" s="78" t="s">
        <v>168</v>
      </c>
      <c r="AJ120" s="78" t="s">
        <v>169</v>
      </c>
      <c r="AK120" s="78" t="s">
        <v>170</v>
      </c>
      <c r="AL120" s="78" t="s">
        <v>171</v>
      </c>
      <c r="AM120" s="78" t="s">
        <v>172</v>
      </c>
      <c r="AN120" s="78" t="s">
        <v>173</v>
      </c>
      <c r="AO120" s="78" t="s">
        <v>174</v>
      </c>
      <c r="AP120" s="78" t="s">
        <v>175</v>
      </c>
      <c r="AQ120" s="78" t="s">
        <v>176</v>
      </c>
      <c r="AR120" s="78" t="s">
        <v>177</v>
      </c>
      <c r="AS120" s="78" t="s">
        <v>178</v>
      </c>
      <c r="AT120" s="78" t="s">
        <v>179</v>
      </c>
      <c r="AU120" s="78" t="s">
        <v>180</v>
      </c>
      <c r="AV120" s="78" t="s">
        <v>181</v>
      </c>
      <c r="AW120" s="78" t="s">
        <v>182</v>
      </c>
      <c r="AX120" s="78" t="s">
        <v>183</v>
      </c>
      <c r="AY120" s="78" t="s">
        <v>184</v>
      </c>
      <c r="AZ120" s="78" t="s">
        <v>185</v>
      </c>
      <c r="BA120" s="78" t="s">
        <v>186</v>
      </c>
      <c r="BB120" s="78" t="s">
        <v>187</v>
      </c>
      <c r="BC120" s="78" t="s">
        <v>188</v>
      </c>
      <c r="BD120" s="78" t="s">
        <v>189</v>
      </c>
      <c r="BE120" s="78" t="s">
        <v>190</v>
      </c>
      <c r="BF120" s="78" t="s">
        <v>191</v>
      </c>
      <c r="BG120" s="78" t="s">
        <v>192</v>
      </c>
      <c r="BH120" s="78" t="s">
        <v>193</v>
      </c>
      <c r="BI120" s="78" t="s">
        <v>194</v>
      </c>
      <c r="BJ120" s="78" t="s">
        <v>195</v>
      </c>
      <c r="BK120" s="78" t="s">
        <v>196</v>
      </c>
      <c r="BL120" s="78" t="s">
        <v>197</v>
      </c>
      <c r="BM120" s="78" t="s">
        <v>198</v>
      </c>
      <c r="BN120" s="78" t="s">
        <v>199</v>
      </c>
      <c r="BO120" s="78" t="s">
        <v>200</v>
      </c>
      <c r="BP120" s="78" t="s">
        <v>201</v>
      </c>
      <c r="BQ120" s="78" t="s">
        <v>202</v>
      </c>
      <c r="BR120" s="78" t="s">
        <v>203</v>
      </c>
      <c r="BS120" s="78" t="s">
        <v>204</v>
      </c>
      <c r="BT120" s="78" t="s">
        <v>205</v>
      </c>
      <c r="BU120" s="78" t="s">
        <v>206</v>
      </c>
      <c r="BV120" s="78" t="s">
        <v>207</v>
      </c>
      <c r="BW120" s="78" t="s">
        <v>208</v>
      </c>
      <c r="BX120" s="78" t="s">
        <v>209</v>
      </c>
      <c r="BY120" s="78" t="s">
        <v>210</v>
      </c>
      <c r="BZ120" s="78" t="s">
        <v>211</v>
      </c>
      <c r="CA120" s="78" t="s">
        <v>212</v>
      </c>
      <c r="CB120" s="78" t="s">
        <v>213</v>
      </c>
      <c r="CC120" s="78" t="s">
        <v>214</v>
      </c>
      <c r="CD120" s="78" t="s">
        <v>215</v>
      </c>
      <c r="CE120" s="78" t="s">
        <v>216</v>
      </c>
      <c r="CF120" s="78" t="s">
        <v>217</v>
      </c>
      <c r="CG120" s="78" t="s">
        <v>218</v>
      </c>
      <c r="CH120" s="78" t="s">
        <v>219</v>
      </c>
      <c r="CI120" s="78" t="s">
        <v>220</v>
      </c>
      <c r="CJ120" s="78" t="s">
        <v>221</v>
      </c>
      <c r="CK120" s="78" t="s">
        <v>222</v>
      </c>
      <c r="CL120" s="78" t="s">
        <v>223</v>
      </c>
      <c r="CM120" s="78" t="s">
        <v>224</v>
      </c>
      <c r="CN120" s="78" t="s">
        <v>225</v>
      </c>
      <c r="CO120" s="78" t="s">
        <v>226</v>
      </c>
      <c r="CP120" s="78" t="s">
        <v>227</v>
      </c>
      <c r="CQ120" s="78" t="s">
        <v>228</v>
      </c>
      <c r="CR120" s="78" t="s">
        <v>229</v>
      </c>
      <c r="CS120" s="78" t="s">
        <v>230</v>
      </c>
      <c r="CT120" s="78" t="s">
        <v>231</v>
      </c>
      <c r="CU120" s="78" t="s">
        <v>232</v>
      </c>
      <c r="CV120" s="78" t="s">
        <v>233</v>
      </c>
      <c r="CW120" s="78" t="s">
        <v>234</v>
      </c>
      <c r="CX120" s="78" t="s">
        <v>235</v>
      </c>
      <c r="CY120" s="78" t="s">
        <v>236</v>
      </c>
      <c r="CZ120" s="78" t="s">
        <v>237</v>
      </c>
      <c r="DA120" s="78" t="s">
        <v>238</v>
      </c>
      <c r="DB120" s="78" t="s">
        <v>239</v>
      </c>
      <c r="DC120" s="78" t="s">
        <v>240</v>
      </c>
      <c r="DD120" s="78" t="s">
        <v>241</v>
      </c>
      <c r="DE120" s="78" t="s">
        <v>242</v>
      </c>
      <c r="DF120" s="78" t="s">
        <v>243</v>
      </c>
      <c r="DG120" s="78" t="s">
        <v>244</v>
      </c>
      <c r="DH120" s="78" t="s">
        <v>245</v>
      </c>
      <c r="DI120" s="78" t="s">
        <v>246</v>
      </c>
      <c r="DJ120" s="78" t="s">
        <v>247</v>
      </c>
      <c r="DK120" s="78" t="s">
        <v>248</v>
      </c>
      <c r="DL120" s="78" t="s">
        <v>249</v>
      </c>
      <c r="DM120" s="78" t="s">
        <v>250</v>
      </c>
      <c r="DN120" s="78" t="s">
        <v>251</v>
      </c>
      <c r="DO120" s="78" t="s">
        <v>252</v>
      </c>
      <c r="DP120" s="78" t="s">
        <v>253</v>
      </c>
      <c r="DQ120" s="78" t="s">
        <v>254</v>
      </c>
      <c r="DR120" s="78" t="s">
        <v>255</v>
      </c>
      <c r="DS120" s="78" t="s">
        <v>256</v>
      </c>
      <c r="DT120" s="78" t="s">
        <v>257</v>
      </c>
      <c r="DU120" s="78" t="s">
        <v>258</v>
      </c>
      <c r="DV120" s="78" t="s">
        <v>259</v>
      </c>
    </row>
    <row r="121" spans="2:126">
      <c r="B121" s="92" t="s">
        <v>979</v>
      </c>
      <c r="C121" s="83">
        <v>1</v>
      </c>
      <c r="J121" s="86" t="s">
        <v>145</v>
      </c>
      <c r="K121" s="87">
        <v>0</v>
      </c>
      <c r="L121" s="96">
        <v>45658</v>
      </c>
      <c r="M121" s="96">
        <v>45658</v>
      </c>
      <c r="N121" s="86" t="s">
        <v>791</v>
      </c>
      <c r="O121" s="96">
        <v>45658</v>
      </c>
      <c r="P121" s="86" t="s">
        <v>791</v>
      </c>
      <c r="Q121" s="96">
        <v>45658</v>
      </c>
      <c r="R121" s="86" t="s">
        <v>791</v>
      </c>
      <c r="S121" s="86" t="s">
        <v>913</v>
      </c>
      <c r="T121" s="87">
        <v>20251201</v>
      </c>
      <c r="U121" s="87">
        <v>20251225</v>
      </c>
      <c r="V121" s="86" t="s">
        <v>913</v>
      </c>
      <c r="W121" s="86" t="s">
        <v>988</v>
      </c>
      <c r="X121" s="86" t="s">
        <v>835</v>
      </c>
      <c r="Y121" s="86" t="s">
        <v>990</v>
      </c>
      <c r="Z121" s="89" t="s">
        <v>681</v>
      </c>
      <c r="AA121" s="89" t="s">
        <v>681</v>
      </c>
      <c r="AB121" s="89" t="s">
        <v>681</v>
      </c>
      <c r="AC121" s="89" t="s">
        <v>681</v>
      </c>
      <c r="AD121" s="89" t="s">
        <v>681</v>
      </c>
      <c r="AE121" s="89" t="s">
        <v>681</v>
      </c>
      <c r="AF121" s="89" t="s">
        <v>681</v>
      </c>
      <c r="AG121" s="89" t="s">
        <v>681</v>
      </c>
      <c r="AH121" s="89" t="s">
        <v>681</v>
      </c>
      <c r="AI121" s="89" t="s">
        <v>681</v>
      </c>
      <c r="AJ121" s="89" t="s">
        <v>681</v>
      </c>
      <c r="AK121" s="89" t="s">
        <v>681</v>
      </c>
      <c r="AL121" s="89" t="s">
        <v>681</v>
      </c>
      <c r="AM121" s="89" t="s">
        <v>681</v>
      </c>
      <c r="AN121" s="89" t="s">
        <v>681</v>
      </c>
      <c r="AO121" s="89" t="s">
        <v>681</v>
      </c>
      <c r="AP121" s="89" t="s">
        <v>681</v>
      </c>
      <c r="AQ121" s="89" t="s">
        <v>681</v>
      </c>
      <c r="AR121" s="89" t="s">
        <v>681</v>
      </c>
      <c r="AS121" s="89" t="s">
        <v>681</v>
      </c>
      <c r="AT121" s="89" t="s">
        <v>681</v>
      </c>
      <c r="AU121" s="89" t="s">
        <v>681</v>
      </c>
      <c r="AV121" s="89" t="s">
        <v>681</v>
      </c>
      <c r="AW121" s="89" t="s">
        <v>681</v>
      </c>
      <c r="AX121" s="89" t="s">
        <v>681</v>
      </c>
      <c r="AY121" s="89" t="s">
        <v>681</v>
      </c>
      <c r="AZ121" s="89" t="s">
        <v>681</v>
      </c>
      <c r="BA121" s="89" t="s">
        <v>681</v>
      </c>
      <c r="BB121" s="89" t="s">
        <v>681</v>
      </c>
      <c r="BC121" s="89" t="s">
        <v>681</v>
      </c>
      <c r="BD121" s="89" t="s">
        <v>681</v>
      </c>
      <c r="BE121" s="89" t="s">
        <v>681</v>
      </c>
      <c r="BF121" s="89" t="s">
        <v>681</v>
      </c>
      <c r="BG121" s="89" t="s">
        <v>681</v>
      </c>
      <c r="BH121" s="89" t="s">
        <v>681</v>
      </c>
      <c r="BI121" s="89" t="s">
        <v>681</v>
      </c>
      <c r="BJ121" s="89" t="s">
        <v>681</v>
      </c>
      <c r="BK121" s="89" t="s">
        <v>681</v>
      </c>
      <c r="BL121" s="89" t="s">
        <v>681</v>
      </c>
      <c r="BM121" s="89" t="s">
        <v>681</v>
      </c>
      <c r="BN121" s="89" t="s">
        <v>681</v>
      </c>
      <c r="BO121" s="89" t="s">
        <v>681</v>
      </c>
      <c r="BP121" s="89" t="s">
        <v>681</v>
      </c>
      <c r="BQ121" s="89" t="s">
        <v>681</v>
      </c>
      <c r="BR121" s="89" t="s">
        <v>681</v>
      </c>
      <c r="BS121" s="89" t="s">
        <v>681</v>
      </c>
      <c r="BT121" s="89" t="s">
        <v>681</v>
      </c>
      <c r="BU121" s="89" t="s">
        <v>681</v>
      </c>
      <c r="BV121" s="89" t="s">
        <v>681</v>
      </c>
      <c r="BW121" s="89" t="s">
        <v>681</v>
      </c>
      <c r="BX121" s="89" t="s">
        <v>681</v>
      </c>
      <c r="BY121" s="89" t="s">
        <v>681</v>
      </c>
      <c r="BZ121" s="89" t="s">
        <v>681</v>
      </c>
      <c r="CA121" s="89" t="s">
        <v>681</v>
      </c>
      <c r="CB121" s="89" t="s">
        <v>681</v>
      </c>
      <c r="CC121" s="89" t="s">
        <v>681</v>
      </c>
      <c r="CD121" s="89" t="s">
        <v>681</v>
      </c>
      <c r="CE121" s="89" t="s">
        <v>681</v>
      </c>
      <c r="CF121" s="89" t="s">
        <v>681</v>
      </c>
      <c r="CG121" s="89" t="s">
        <v>681</v>
      </c>
      <c r="CH121" s="89" t="s">
        <v>681</v>
      </c>
      <c r="CI121" s="89" t="s">
        <v>681</v>
      </c>
      <c r="CJ121" s="89" t="s">
        <v>681</v>
      </c>
      <c r="CK121" s="89" t="s">
        <v>681</v>
      </c>
      <c r="CL121" s="89" t="s">
        <v>681</v>
      </c>
      <c r="CM121" s="89" t="s">
        <v>681</v>
      </c>
      <c r="CN121" s="89" t="s">
        <v>681</v>
      </c>
      <c r="CO121" s="89" t="s">
        <v>681</v>
      </c>
      <c r="CP121" s="89" t="s">
        <v>681</v>
      </c>
      <c r="CQ121" s="89" t="s">
        <v>681</v>
      </c>
      <c r="CR121" s="89" t="s">
        <v>681</v>
      </c>
      <c r="CS121" s="89" t="s">
        <v>681</v>
      </c>
      <c r="CT121" s="89" t="s">
        <v>681</v>
      </c>
      <c r="CU121" s="89" t="s">
        <v>681</v>
      </c>
      <c r="CV121" s="89" t="s">
        <v>681</v>
      </c>
      <c r="CW121" s="89" t="s">
        <v>681</v>
      </c>
      <c r="CX121" s="89" t="s">
        <v>681</v>
      </c>
      <c r="CY121" s="89" t="s">
        <v>681</v>
      </c>
      <c r="CZ121" s="89" t="s">
        <v>681</v>
      </c>
      <c r="DA121" s="89" t="s">
        <v>681</v>
      </c>
      <c r="DB121" s="89" t="s">
        <v>681</v>
      </c>
      <c r="DC121" s="89" t="s">
        <v>681</v>
      </c>
      <c r="DD121" s="89" t="s">
        <v>681</v>
      </c>
      <c r="DE121" s="89" t="s">
        <v>681</v>
      </c>
      <c r="DF121" s="89" t="s">
        <v>681</v>
      </c>
      <c r="DG121" s="89" t="s">
        <v>681</v>
      </c>
      <c r="DH121" s="89" t="s">
        <v>681</v>
      </c>
      <c r="DI121" s="89" t="s">
        <v>681</v>
      </c>
      <c r="DJ121" s="89" t="s">
        <v>681</v>
      </c>
      <c r="DK121" s="89" t="s">
        <v>681</v>
      </c>
      <c r="DL121" s="89" t="s">
        <v>681</v>
      </c>
      <c r="DM121" s="89" t="s">
        <v>681</v>
      </c>
      <c r="DN121" s="89" t="s">
        <v>681</v>
      </c>
      <c r="DO121" s="89" t="s">
        <v>681</v>
      </c>
      <c r="DP121" s="89" t="s">
        <v>681</v>
      </c>
      <c r="DQ121" s="89" t="s">
        <v>681</v>
      </c>
      <c r="DR121" s="89" t="s">
        <v>681</v>
      </c>
      <c r="DS121" s="89" t="s">
        <v>681</v>
      </c>
      <c r="DT121" s="89" t="s">
        <v>681</v>
      </c>
      <c r="DU121" s="89" t="s">
        <v>681</v>
      </c>
      <c r="DV121" s="89" t="s">
        <v>681</v>
      </c>
    </row>
    <row r="122" spans="2:126">
      <c r="B122" s="92" t="s">
        <v>986</v>
      </c>
      <c r="C122" s="83">
        <v>1</v>
      </c>
      <c r="J122" s="86" t="s">
        <v>145</v>
      </c>
      <c r="K122" s="87">
        <v>0</v>
      </c>
      <c r="L122" s="96">
        <v>45658</v>
      </c>
      <c r="M122" s="96">
        <v>45658</v>
      </c>
      <c r="N122" s="86" t="s">
        <v>791</v>
      </c>
      <c r="O122" s="96">
        <v>45658</v>
      </c>
      <c r="P122" s="86" t="s">
        <v>791</v>
      </c>
      <c r="Q122" s="96">
        <v>45658</v>
      </c>
      <c r="R122" s="86" t="s">
        <v>791</v>
      </c>
      <c r="S122" s="86" t="s">
        <v>913</v>
      </c>
      <c r="T122" s="87">
        <v>20251202</v>
      </c>
      <c r="U122" s="87">
        <v>20261225</v>
      </c>
      <c r="V122" s="86" t="s">
        <v>987</v>
      </c>
      <c r="W122" s="86" t="s">
        <v>837</v>
      </c>
      <c r="X122" s="86" t="s">
        <v>838</v>
      </c>
      <c r="Y122" s="86" t="s">
        <v>991</v>
      </c>
      <c r="Z122" s="89" t="s">
        <v>681</v>
      </c>
      <c r="AA122" s="89" t="s">
        <v>681</v>
      </c>
      <c r="AB122" s="89" t="s">
        <v>681</v>
      </c>
      <c r="AC122" s="89" t="s">
        <v>681</v>
      </c>
      <c r="AD122" s="89" t="s">
        <v>681</v>
      </c>
      <c r="AE122" s="89" t="s">
        <v>681</v>
      </c>
      <c r="AF122" s="89" t="s">
        <v>681</v>
      </c>
      <c r="AG122" s="89" t="s">
        <v>681</v>
      </c>
      <c r="AH122" s="89" t="s">
        <v>681</v>
      </c>
      <c r="AI122" s="89" t="s">
        <v>681</v>
      </c>
      <c r="AJ122" s="89" t="s">
        <v>681</v>
      </c>
      <c r="AK122" s="89" t="s">
        <v>681</v>
      </c>
      <c r="AL122" s="89" t="s">
        <v>681</v>
      </c>
      <c r="AM122" s="89" t="s">
        <v>681</v>
      </c>
      <c r="AN122" s="89" t="s">
        <v>681</v>
      </c>
      <c r="AO122" s="89" t="s">
        <v>681</v>
      </c>
      <c r="AP122" s="89" t="s">
        <v>681</v>
      </c>
      <c r="AQ122" s="89" t="s">
        <v>681</v>
      </c>
      <c r="AR122" s="89" t="s">
        <v>681</v>
      </c>
      <c r="AS122" s="89" t="s">
        <v>681</v>
      </c>
      <c r="AT122" s="89" t="s">
        <v>681</v>
      </c>
      <c r="AU122" s="89" t="s">
        <v>681</v>
      </c>
      <c r="AV122" s="89" t="s">
        <v>681</v>
      </c>
      <c r="AW122" s="89" t="s">
        <v>681</v>
      </c>
      <c r="AX122" s="89" t="s">
        <v>681</v>
      </c>
      <c r="AY122" s="89" t="s">
        <v>681</v>
      </c>
      <c r="AZ122" s="89" t="s">
        <v>681</v>
      </c>
      <c r="BA122" s="89" t="s">
        <v>681</v>
      </c>
      <c r="BB122" s="89" t="s">
        <v>681</v>
      </c>
      <c r="BC122" s="89" t="s">
        <v>681</v>
      </c>
      <c r="BD122" s="89" t="s">
        <v>681</v>
      </c>
      <c r="BE122" s="89" t="s">
        <v>681</v>
      </c>
      <c r="BF122" s="89" t="s">
        <v>681</v>
      </c>
      <c r="BG122" s="89" t="s">
        <v>681</v>
      </c>
      <c r="BH122" s="89" t="s">
        <v>681</v>
      </c>
      <c r="BI122" s="89" t="s">
        <v>681</v>
      </c>
      <c r="BJ122" s="89" t="s">
        <v>681</v>
      </c>
      <c r="BK122" s="89" t="s">
        <v>681</v>
      </c>
      <c r="BL122" s="89" t="s">
        <v>681</v>
      </c>
      <c r="BM122" s="89" t="s">
        <v>681</v>
      </c>
      <c r="BN122" s="89" t="s">
        <v>681</v>
      </c>
      <c r="BO122" s="89" t="s">
        <v>681</v>
      </c>
      <c r="BP122" s="89" t="s">
        <v>681</v>
      </c>
      <c r="BQ122" s="89" t="s">
        <v>681</v>
      </c>
      <c r="BR122" s="89" t="s">
        <v>681</v>
      </c>
      <c r="BS122" s="89" t="s">
        <v>681</v>
      </c>
      <c r="BT122" s="89" t="s">
        <v>681</v>
      </c>
      <c r="BU122" s="89" t="s">
        <v>681</v>
      </c>
      <c r="BV122" s="89" t="s">
        <v>681</v>
      </c>
      <c r="BW122" s="89" t="s">
        <v>681</v>
      </c>
      <c r="BX122" s="89" t="s">
        <v>681</v>
      </c>
      <c r="BY122" s="89" t="s">
        <v>681</v>
      </c>
      <c r="BZ122" s="89" t="s">
        <v>681</v>
      </c>
      <c r="CA122" s="89" t="s">
        <v>681</v>
      </c>
      <c r="CB122" s="89" t="s">
        <v>681</v>
      </c>
      <c r="CC122" s="89" t="s">
        <v>681</v>
      </c>
      <c r="CD122" s="89" t="s">
        <v>681</v>
      </c>
      <c r="CE122" s="89" t="s">
        <v>681</v>
      </c>
      <c r="CF122" s="89" t="s">
        <v>681</v>
      </c>
      <c r="CG122" s="89" t="s">
        <v>681</v>
      </c>
      <c r="CH122" s="89" t="s">
        <v>681</v>
      </c>
      <c r="CI122" s="89" t="s">
        <v>681</v>
      </c>
      <c r="CJ122" s="89" t="s">
        <v>681</v>
      </c>
      <c r="CK122" s="89" t="s">
        <v>681</v>
      </c>
      <c r="CL122" s="89" t="s">
        <v>681</v>
      </c>
      <c r="CM122" s="89" t="s">
        <v>681</v>
      </c>
      <c r="CN122" s="89" t="s">
        <v>681</v>
      </c>
      <c r="CO122" s="89" t="s">
        <v>681</v>
      </c>
      <c r="CP122" s="89" t="s">
        <v>681</v>
      </c>
      <c r="CQ122" s="89" t="s">
        <v>681</v>
      </c>
      <c r="CR122" s="89" t="s">
        <v>681</v>
      </c>
      <c r="CS122" s="89" t="s">
        <v>681</v>
      </c>
      <c r="CT122" s="89" t="s">
        <v>681</v>
      </c>
      <c r="CU122" s="89" t="s">
        <v>681</v>
      </c>
      <c r="CV122" s="89" t="s">
        <v>681</v>
      </c>
      <c r="CW122" s="89" t="s">
        <v>681</v>
      </c>
      <c r="CX122" s="89" t="s">
        <v>681</v>
      </c>
      <c r="CY122" s="89" t="s">
        <v>681</v>
      </c>
      <c r="CZ122" s="89" t="s">
        <v>681</v>
      </c>
      <c r="DA122" s="89" t="s">
        <v>681</v>
      </c>
      <c r="DB122" s="89" t="s">
        <v>681</v>
      </c>
      <c r="DC122" s="89" t="s">
        <v>681</v>
      </c>
      <c r="DD122" s="89" t="s">
        <v>681</v>
      </c>
      <c r="DE122" s="89" t="s">
        <v>681</v>
      </c>
      <c r="DF122" s="89" t="s">
        <v>681</v>
      </c>
      <c r="DG122" s="89" t="s">
        <v>681</v>
      </c>
      <c r="DH122" s="89" t="s">
        <v>681</v>
      </c>
      <c r="DI122" s="89" t="s">
        <v>681</v>
      </c>
      <c r="DJ122" s="89" t="s">
        <v>681</v>
      </c>
      <c r="DK122" s="89" t="s">
        <v>681</v>
      </c>
      <c r="DL122" s="89" t="s">
        <v>681</v>
      </c>
      <c r="DM122" s="89" t="s">
        <v>681</v>
      </c>
      <c r="DN122" s="89" t="s">
        <v>681</v>
      </c>
      <c r="DO122" s="89" t="s">
        <v>681</v>
      </c>
      <c r="DP122" s="89" t="s">
        <v>681</v>
      </c>
      <c r="DQ122" s="89" t="s">
        <v>681</v>
      </c>
      <c r="DR122" s="89" t="s">
        <v>681</v>
      </c>
      <c r="DS122" s="89" t="s">
        <v>681</v>
      </c>
      <c r="DT122" s="89" t="s">
        <v>681</v>
      </c>
      <c r="DU122" s="89" t="s">
        <v>681</v>
      </c>
      <c r="DV122" s="89" t="s">
        <v>681</v>
      </c>
    </row>
    <row r="123" spans="2:126">
      <c r="B123" s="92" t="s">
        <v>982</v>
      </c>
      <c r="C123" s="83">
        <v>1</v>
      </c>
      <c r="J123" s="86" t="s">
        <v>145</v>
      </c>
      <c r="K123" s="87">
        <v>0</v>
      </c>
      <c r="L123" s="96">
        <v>45658</v>
      </c>
      <c r="M123" s="96">
        <v>45658</v>
      </c>
      <c r="N123" s="86" t="s">
        <v>791</v>
      </c>
      <c r="O123" s="96">
        <v>45658</v>
      </c>
      <c r="P123" s="86" t="s">
        <v>791</v>
      </c>
      <c r="Q123" s="96">
        <v>45658</v>
      </c>
      <c r="R123" s="86" t="s">
        <v>791</v>
      </c>
      <c r="S123" s="86" t="s">
        <v>913</v>
      </c>
      <c r="T123" s="87">
        <v>20251226</v>
      </c>
      <c r="U123" s="87">
        <v>20270130</v>
      </c>
      <c r="V123" s="86" t="s">
        <v>913</v>
      </c>
      <c r="W123" s="86" t="s">
        <v>840</v>
      </c>
      <c r="X123" s="86" t="s">
        <v>841</v>
      </c>
      <c r="Y123" s="86" t="s">
        <v>992</v>
      </c>
      <c r="Z123" s="89" t="s">
        <v>681</v>
      </c>
      <c r="AA123" s="89" t="s">
        <v>681</v>
      </c>
      <c r="AB123" s="89" t="s">
        <v>681</v>
      </c>
      <c r="AC123" s="89" t="s">
        <v>681</v>
      </c>
      <c r="AD123" s="89" t="s">
        <v>681</v>
      </c>
      <c r="AE123" s="89" t="s">
        <v>681</v>
      </c>
      <c r="AF123" s="89" t="s">
        <v>681</v>
      </c>
      <c r="AG123" s="89" t="s">
        <v>681</v>
      </c>
      <c r="AH123" s="89" t="s">
        <v>681</v>
      </c>
      <c r="AI123" s="89" t="s">
        <v>681</v>
      </c>
      <c r="AJ123" s="89" t="s">
        <v>681</v>
      </c>
      <c r="AK123" s="89" t="s">
        <v>681</v>
      </c>
      <c r="AL123" s="89" t="s">
        <v>681</v>
      </c>
      <c r="AM123" s="89" t="s">
        <v>681</v>
      </c>
      <c r="AN123" s="89" t="s">
        <v>681</v>
      </c>
      <c r="AO123" s="89" t="s">
        <v>681</v>
      </c>
      <c r="AP123" s="89" t="s">
        <v>681</v>
      </c>
      <c r="AQ123" s="89" t="s">
        <v>681</v>
      </c>
      <c r="AR123" s="89" t="s">
        <v>681</v>
      </c>
      <c r="AS123" s="89" t="s">
        <v>681</v>
      </c>
      <c r="AT123" s="89" t="s">
        <v>681</v>
      </c>
      <c r="AU123" s="89" t="s">
        <v>681</v>
      </c>
      <c r="AV123" s="89" t="s">
        <v>681</v>
      </c>
      <c r="AW123" s="89" t="s">
        <v>681</v>
      </c>
      <c r="AX123" s="89" t="s">
        <v>681</v>
      </c>
      <c r="AY123" s="89" t="s">
        <v>681</v>
      </c>
      <c r="AZ123" s="89" t="s">
        <v>681</v>
      </c>
      <c r="BA123" s="89" t="s">
        <v>681</v>
      </c>
      <c r="BB123" s="89" t="s">
        <v>681</v>
      </c>
      <c r="BC123" s="89" t="s">
        <v>681</v>
      </c>
      <c r="BD123" s="89" t="s">
        <v>681</v>
      </c>
      <c r="BE123" s="89" t="s">
        <v>681</v>
      </c>
      <c r="BF123" s="89" t="s">
        <v>681</v>
      </c>
      <c r="BG123" s="89" t="s">
        <v>681</v>
      </c>
      <c r="BH123" s="89" t="s">
        <v>681</v>
      </c>
      <c r="BI123" s="89" t="s">
        <v>681</v>
      </c>
      <c r="BJ123" s="89" t="s">
        <v>681</v>
      </c>
      <c r="BK123" s="89" t="s">
        <v>681</v>
      </c>
      <c r="BL123" s="89" t="s">
        <v>681</v>
      </c>
      <c r="BM123" s="89" t="s">
        <v>681</v>
      </c>
      <c r="BN123" s="89" t="s">
        <v>681</v>
      </c>
      <c r="BO123" s="89" t="s">
        <v>681</v>
      </c>
      <c r="BP123" s="89" t="s">
        <v>681</v>
      </c>
      <c r="BQ123" s="89" t="s">
        <v>681</v>
      </c>
      <c r="BR123" s="89" t="s">
        <v>681</v>
      </c>
      <c r="BS123" s="89" t="s">
        <v>681</v>
      </c>
      <c r="BT123" s="89" t="s">
        <v>681</v>
      </c>
      <c r="BU123" s="89" t="s">
        <v>681</v>
      </c>
      <c r="BV123" s="89" t="s">
        <v>681</v>
      </c>
      <c r="BW123" s="89" t="s">
        <v>681</v>
      </c>
      <c r="BX123" s="89" t="s">
        <v>681</v>
      </c>
      <c r="BY123" s="89" t="s">
        <v>681</v>
      </c>
      <c r="BZ123" s="89" t="s">
        <v>681</v>
      </c>
      <c r="CA123" s="89" t="s">
        <v>681</v>
      </c>
      <c r="CB123" s="89" t="s">
        <v>681</v>
      </c>
      <c r="CC123" s="89" t="s">
        <v>681</v>
      </c>
      <c r="CD123" s="89" t="s">
        <v>681</v>
      </c>
      <c r="CE123" s="89" t="s">
        <v>681</v>
      </c>
      <c r="CF123" s="89" t="s">
        <v>681</v>
      </c>
      <c r="CG123" s="89" t="s">
        <v>681</v>
      </c>
      <c r="CH123" s="89" t="s">
        <v>681</v>
      </c>
      <c r="CI123" s="89" t="s">
        <v>681</v>
      </c>
      <c r="CJ123" s="89" t="s">
        <v>681</v>
      </c>
      <c r="CK123" s="89" t="s">
        <v>681</v>
      </c>
      <c r="CL123" s="89" t="s">
        <v>681</v>
      </c>
      <c r="CM123" s="89" t="s">
        <v>681</v>
      </c>
      <c r="CN123" s="89" t="s">
        <v>681</v>
      </c>
      <c r="CO123" s="89" t="s">
        <v>681</v>
      </c>
      <c r="CP123" s="89" t="s">
        <v>681</v>
      </c>
      <c r="CQ123" s="89" t="s">
        <v>681</v>
      </c>
      <c r="CR123" s="89" t="s">
        <v>681</v>
      </c>
      <c r="CS123" s="89" t="s">
        <v>681</v>
      </c>
      <c r="CT123" s="89" t="s">
        <v>681</v>
      </c>
      <c r="CU123" s="89" t="s">
        <v>681</v>
      </c>
      <c r="CV123" s="89" t="s">
        <v>681</v>
      </c>
      <c r="CW123" s="89" t="s">
        <v>681</v>
      </c>
      <c r="CX123" s="89" t="s">
        <v>681</v>
      </c>
      <c r="CY123" s="89" t="s">
        <v>681</v>
      </c>
      <c r="CZ123" s="89" t="s">
        <v>681</v>
      </c>
      <c r="DA123" s="89" t="s">
        <v>681</v>
      </c>
      <c r="DB123" s="89" t="s">
        <v>681</v>
      </c>
      <c r="DC123" s="89" t="s">
        <v>681</v>
      </c>
      <c r="DD123" s="89" t="s">
        <v>681</v>
      </c>
      <c r="DE123" s="89" t="s">
        <v>681</v>
      </c>
      <c r="DF123" s="89" t="s">
        <v>681</v>
      </c>
      <c r="DG123" s="89" t="s">
        <v>681</v>
      </c>
      <c r="DH123" s="89" t="s">
        <v>681</v>
      </c>
      <c r="DI123" s="89" t="s">
        <v>681</v>
      </c>
      <c r="DJ123" s="89" t="s">
        <v>681</v>
      </c>
      <c r="DK123" s="89" t="s">
        <v>681</v>
      </c>
      <c r="DL123" s="89" t="s">
        <v>681</v>
      </c>
      <c r="DM123" s="89" t="s">
        <v>681</v>
      </c>
      <c r="DN123" s="89" t="s">
        <v>681</v>
      </c>
      <c r="DO123" s="89" t="s">
        <v>681</v>
      </c>
      <c r="DP123" s="89" t="s">
        <v>681</v>
      </c>
      <c r="DQ123" s="89" t="s">
        <v>681</v>
      </c>
      <c r="DR123" s="89" t="s">
        <v>681</v>
      </c>
      <c r="DS123" s="89" t="s">
        <v>681</v>
      </c>
      <c r="DT123" s="89" t="s">
        <v>681</v>
      </c>
      <c r="DU123" s="89" t="s">
        <v>681</v>
      </c>
      <c r="DV123" s="89" t="s">
        <v>681</v>
      </c>
    </row>
    <row r="124" spans="2:126">
      <c r="B124" s="92" t="s">
        <v>980</v>
      </c>
      <c r="C124" s="83">
        <v>1</v>
      </c>
      <c r="J124" s="86" t="s">
        <v>456</v>
      </c>
      <c r="K124" s="87">
        <v>0</v>
      </c>
      <c r="L124" s="96">
        <v>45658</v>
      </c>
      <c r="M124" s="96">
        <v>45658</v>
      </c>
      <c r="N124" s="86" t="s">
        <v>791</v>
      </c>
      <c r="O124" s="96">
        <v>45658</v>
      </c>
      <c r="P124" s="86" t="s">
        <v>791</v>
      </c>
      <c r="Q124" s="96">
        <v>45658</v>
      </c>
      <c r="R124" s="86" t="s">
        <v>791</v>
      </c>
      <c r="S124" s="86" t="s">
        <v>913</v>
      </c>
      <c r="T124" s="87">
        <v>20250101</v>
      </c>
      <c r="U124" s="87">
        <v>20270130</v>
      </c>
      <c r="V124" s="86" t="s">
        <v>913</v>
      </c>
      <c r="W124" s="86" t="s">
        <v>843</v>
      </c>
      <c r="X124" s="86" t="s">
        <v>844</v>
      </c>
      <c r="Y124" s="86" t="s">
        <v>993</v>
      </c>
      <c r="Z124" s="89" t="s">
        <v>681</v>
      </c>
      <c r="AA124" s="89" t="s">
        <v>681</v>
      </c>
      <c r="AB124" s="89" t="s">
        <v>681</v>
      </c>
      <c r="AC124" s="89" t="s">
        <v>681</v>
      </c>
      <c r="AD124" s="89" t="s">
        <v>681</v>
      </c>
      <c r="AE124" s="89" t="s">
        <v>681</v>
      </c>
      <c r="AF124" s="89" t="s">
        <v>681</v>
      </c>
      <c r="AG124" s="89" t="s">
        <v>681</v>
      </c>
      <c r="AH124" s="89" t="s">
        <v>681</v>
      </c>
      <c r="AI124" s="89" t="s">
        <v>681</v>
      </c>
      <c r="AJ124" s="89" t="s">
        <v>681</v>
      </c>
      <c r="AK124" s="89" t="s">
        <v>681</v>
      </c>
      <c r="AL124" s="89" t="s">
        <v>681</v>
      </c>
      <c r="AM124" s="89" t="s">
        <v>681</v>
      </c>
      <c r="AN124" s="89" t="s">
        <v>681</v>
      </c>
      <c r="AO124" s="89" t="s">
        <v>681</v>
      </c>
      <c r="AP124" s="89" t="s">
        <v>681</v>
      </c>
      <c r="AQ124" s="89" t="s">
        <v>681</v>
      </c>
      <c r="AR124" s="89" t="s">
        <v>681</v>
      </c>
      <c r="AS124" s="89" t="s">
        <v>681</v>
      </c>
      <c r="AT124" s="89" t="s">
        <v>681</v>
      </c>
      <c r="AU124" s="89" t="s">
        <v>681</v>
      </c>
      <c r="AV124" s="89" t="s">
        <v>681</v>
      </c>
      <c r="AW124" s="89" t="s">
        <v>681</v>
      </c>
      <c r="AX124" s="89" t="s">
        <v>681</v>
      </c>
      <c r="AY124" s="89" t="s">
        <v>681</v>
      </c>
      <c r="AZ124" s="89" t="s">
        <v>681</v>
      </c>
      <c r="BA124" s="89" t="s">
        <v>681</v>
      </c>
      <c r="BB124" s="89" t="s">
        <v>681</v>
      </c>
      <c r="BC124" s="89" t="s">
        <v>681</v>
      </c>
      <c r="BD124" s="89" t="s">
        <v>681</v>
      </c>
      <c r="BE124" s="89" t="s">
        <v>681</v>
      </c>
      <c r="BF124" s="89" t="s">
        <v>681</v>
      </c>
      <c r="BG124" s="89" t="s">
        <v>681</v>
      </c>
      <c r="BH124" s="89" t="s">
        <v>681</v>
      </c>
      <c r="BI124" s="89" t="s">
        <v>681</v>
      </c>
      <c r="BJ124" s="89" t="s">
        <v>681</v>
      </c>
      <c r="BK124" s="89" t="s">
        <v>681</v>
      </c>
      <c r="BL124" s="89" t="s">
        <v>681</v>
      </c>
      <c r="BM124" s="89" t="s">
        <v>681</v>
      </c>
      <c r="BN124" s="89" t="s">
        <v>681</v>
      </c>
      <c r="BO124" s="89" t="s">
        <v>681</v>
      </c>
      <c r="BP124" s="89" t="s">
        <v>681</v>
      </c>
      <c r="BQ124" s="89" t="s">
        <v>681</v>
      </c>
      <c r="BR124" s="89" t="s">
        <v>681</v>
      </c>
      <c r="BS124" s="89" t="s">
        <v>681</v>
      </c>
      <c r="BT124" s="89" t="s">
        <v>681</v>
      </c>
      <c r="BU124" s="89" t="s">
        <v>681</v>
      </c>
      <c r="BV124" s="89" t="s">
        <v>681</v>
      </c>
      <c r="BW124" s="89" t="s">
        <v>681</v>
      </c>
      <c r="BX124" s="89" t="s">
        <v>681</v>
      </c>
      <c r="BY124" s="89" t="s">
        <v>681</v>
      </c>
      <c r="BZ124" s="89" t="s">
        <v>681</v>
      </c>
      <c r="CA124" s="89" t="s">
        <v>681</v>
      </c>
      <c r="CB124" s="89" t="s">
        <v>681</v>
      </c>
      <c r="CC124" s="89" t="s">
        <v>681</v>
      </c>
      <c r="CD124" s="89" t="s">
        <v>681</v>
      </c>
      <c r="CE124" s="89" t="s">
        <v>681</v>
      </c>
      <c r="CF124" s="89" t="s">
        <v>681</v>
      </c>
      <c r="CG124" s="89" t="s">
        <v>681</v>
      </c>
      <c r="CH124" s="89" t="s">
        <v>681</v>
      </c>
      <c r="CI124" s="89" t="s">
        <v>681</v>
      </c>
      <c r="CJ124" s="89" t="s">
        <v>681</v>
      </c>
      <c r="CK124" s="89" t="s">
        <v>681</v>
      </c>
      <c r="CL124" s="89" t="s">
        <v>681</v>
      </c>
      <c r="CM124" s="89" t="s">
        <v>681</v>
      </c>
      <c r="CN124" s="89" t="s">
        <v>681</v>
      </c>
      <c r="CO124" s="89" t="s">
        <v>681</v>
      </c>
      <c r="CP124" s="89" t="s">
        <v>681</v>
      </c>
      <c r="CQ124" s="89" t="s">
        <v>681</v>
      </c>
      <c r="CR124" s="89" t="s">
        <v>681</v>
      </c>
      <c r="CS124" s="89" t="s">
        <v>681</v>
      </c>
      <c r="CT124" s="89" t="s">
        <v>681</v>
      </c>
      <c r="CU124" s="89" t="s">
        <v>681</v>
      </c>
      <c r="CV124" s="89" t="s">
        <v>681</v>
      </c>
      <c r="CW124" s="89" t="s">
        <v>681</v>
      </c>
      <c r="CX124" s="89" t="s">
        <v>681</v>
      </c>
      <c r="CY124" s="89" t="s">
        <v>681</v>
      </c>
      <c r="CZ124" s="89" t="s">
        <v>681</v>
      </c>
      <c r="DA124" s="89" t="s">
        <v>681</v>
      </c>
      <c r="DB124" s="89" t="s">
        <v>681</v>
      </c>
      <c r="DC124" s="89" t="s">
        <v>681</v>
      </c>
      <c r="DD124" s="89" t="s">
        <v>681</v>
      </c>
      <c r="DE124" s="89" t="s">
        <v>681</v>
      </c>
      <c r="DF124" s="89" t="s">
        <v>681</v>
      </c>
      <c r="DG124" s="89" t="s">
        <v>681</v>
      </c>
      <c r="DH124" s="89" t="s">
        <v>681</v>
      </c>
      <c r="DI124" s="89" t="s">
        <v>681</v>
      </c>
      <c r="DJ124" s="89" t="s">
        <v>681</v>
      </c>
      <c r="DK124" s="89" t="s">
        <v>681</v>
      </c>
      <c r="DL124" s="89" t="s">
        <v>681</v>
      </c>
      <c r="DM124" s="89" t="s">
        <v>681</v>
      </c>
      <c r="DN124" s="89" t="s">
        <v>681</v>
      </c>
      <c r="DO124" s="89" t="s">
        <v>681</v>
      </c>
      <c r="DP124" s="89" t="s">
        <v>681</v>
      </c>
      <c r="DQ124" s="89" t="s">
        <v>681</v>
      </c>
      <c r="DR124" s="89" t="s">
        <v>681</v>
      </c>
      <c r="DS124" s="89" t="s">
        <v>681</v>
      </c>
      <c r="DT124" s="89" t="s">
        <v>681</v>
      </c>
      <c r="DU124" s="89" t="s">
        <v>681</v>
      </c>
      <c r="DV124" s="89" t="s">
        <v>681</v>
      </c>
    </row>
    <row r="125" spans="2:126">
      <c r="B125" s="92" t="s">
        <v>979</v>
      </c>
      <c r="C125" s="83" t="s">
        <v>1018</v>
      </c>
      <c r="J125" s="86" t="s">
        <v>145</v>
      </c>
      <c r="K125" s="87">
        <v>0</v>
      </c>
      <c r="L125" s="96">
        <v>45658</v>
      </c>
      <c r="M125" s="96">
        <v>45658</v>
      </c>
      <c r="N125" s="86" t="s">
        <v>791</v>
      </c>
      <c r="O125" s="96">
        <v>45658</v>
      </c>
      <c r="P125" s="86" t="s">
        <v>791</v>
      </c>
      <c r="Q125" s="96">
        <v>45658</v>
      </c>
      <c r="R125" s="86" t="s">
        <v>791</v>
      </c>
      <c r="S125" s="86" t="s">
        <v>452</v>
      </c>
      <c r="T125" s="87">
        <v>20250101</v>
      </c>
      <c r="U125" s="87">
        <v>99991231</v>
      </c>
      <c r="V125" s="86" t="s">
        <v>452</v>
      </c>
      <c r="W125" s="86" t="s">
        <v>834</v>
      </c>
      <c r="X125" s="86" t="s">
        <v>835</v>
      </c>
      <c r="Y125" s="86" t="s">
        <v>836</v>
      </c>
      <c r="Z125" s="89" t="s">
        <v>681</v>
      </c>
      <c r="AA125" s="89" t="s">
        <v>681</v>
      </c>
      <c r="AB125" s="89" t="s">
        <v>681</v>
      </c>
      <c r="AC125" s="89" t="s">
        <v>681</v>
      </c>
      <c r="AD125" s="89" t="s">
        <v>681</v>
      </c>
      <c r="AE125" s="89" t="s">
        <v>681</v>
      </c>
      <c r="AF125" s="89" t="s">
        <v>681</v>
      </c>
      <c r="AG125" s="89" t="s">
        <v>681</v>
      </c>
      <c r="AH125" s="89" t="s">
        <v>681</v>
      </c>
      <c r="AI125" s="89" t="s">
        <v>681</v>
      </c>
      <c r="AJ125" s="89" t="s">
        <v>681</v>
      </c>
      <c r="AK125" s="89" t="s">
        <v>681</v>
      </c>
      <c r="AL125" s="89" t="s">
        <v>681</v>
      </c>
      <c r="AM125" s="89" t="s">
        <v>681</v>
      </c>
      <c r="AN125" s="89" t="s">
        <v>681</v>
      </c>
      <c r="AO125" s="89" t="s">
        <v>681</v>
      </c>
      <c r="AP125" s="89" t="s">
        <v>681</v>
      </c>
      <c r="AQ125" s="89" t="s">
        <v>681</v>
      </c>
      <c r="AR125" s="89" t="s">
        <v>681</v>
      </c>
      <c r="AS125" s="89" t="s">
        <v>681</v>
      </c>
      <c r="AT125" s="89" t="s">
        <v>681</v>
      </c>
      <c r="AU125" s="89" t="s">
        <v>681</v>
      </c>
      <c r="AV125" s="89" t="s">
        <v>681</v>
      </c>
      <c r="AW125" s="89" t="s">
        <v>681</v>
      </c>
      <c r="AX125" s="89" t="s">
        <v>681</v>
      </c>
      <c r="AY125" s="89" t="s">
        <v>681</v>
      </c>
      <c r="AZ125" s="89" t="s">
        <v>681</v>
      </c>
      <c r="BA125" s="89" t="s">
        <v>681</v>
      </c>
      <c r="BB125" s="89" t="s">
        <v>681</v>
      </c>
      <c r="BC125" s="89" t="s">
        <v>681</v>
      </c>
      <c r="BD125" s="89" t="s">
        <v>681</v>
      </c>
      <c r="BE125" s="89" t="s">
        <v>681</v>
      </c>
      <c r="BF125" s="89" t="s">
        <v>681</v>
      </c>
      <c r="BG125" s="89" t="s">
        <v>681</v>
      </c>
      <c r="BH125" s="89" t="s">
        <v>681</v>
      </c>
      <c r="BI125" s="89" t="s">
        <v>681</v>
      </c>
      <c r="BJ125" s="89" t="s">
        <v>681</v>
      </c>
      <c r="BK125" s="89" t="s">
        <v>681</v>
      </c>
      <c r="BL125" s="89" t="s">
        <v>681</v>
      </c>
      <c r="BM125" s="89" t="s">
        <v>681</v>
      </c>
      <c r="BN125" s="89" t="s">
        <v>681</v>
      </c>
      <c r="BO125" s="89" t="s">
        <v>681</v>
      </c>
      <c r="BP125" s="89" t="s">
        <v>681</v>
      </c>
      <c r="BQ125" s="89" t="s">
        <v>681</v>
      </c>
      <c r="BR125" s="89" t="s">
        <v>681</v>
      </c>
      <c r="BS125" s="89" t="s">
        <v>681</v>
      </c>
      <c r="BT125" s="89" t="s">
        <v>681</v>
      </c>
      <c r="BU125" s="89" t="s">
        <v>681</v>
      </c>
      <c r="BV125" s="89" t="s">
        <v>681</v>
      </c>
      <c r="BW125" s="89" t="s">
        <v>681</v>
      </c>
      <c r="BX125" s="89" t="s">
        <v>681</v>
      </c>
      <c r="BY125" s="89" t="s">
        <v>681</v>
      </c>
      <c r="BZ125" s="89" t="s">
        <v>681</v>
      </c>
      <c r="CA125" s="89" t="s">
        <v>681</v>
      </c>
      <c r="CB125" s="89" t="s">
        <v>681</v>
      </c>
      <c r="CC125" s="89" t="s">
        <v>681</v>
      </c>
      <c r="CD125" s="89" t="s">
        <v>681</v>
      </c>
      <c r="CE125" s="89" t="s">
        <v>681</v>
      </c>
      <c r="CF125" s="89" t="s">
        <v>681</v>
      </c>
      <c r="CG125" s="89" t="s">
        <v>681</v>
      </c>
      <c r="CH125" s="89" t="s">
        <v>681</v>
      </c>
      <c r="CI125" s="89" t="s">
        <v>681</v>
      </c>
      <c r="CJ125" s="89" t="s">
        <v>681</v>
      </c>
      <c r="CK125" s="89" t="s">
        <v>681</v>
      </c>
      <c r="CL125" s="89" t="s">
        <v>681</v>
      </c>
      <c r="CM125" s="89" t="s">
        <v>681</v>
      </c>
      <c r="CN125" s="89" t="s">
        <v>681</v>
      </c>
      <c r="CO125" s="89" t="s">
        <v>681</v>
      </c>
      <c r="CP125" s="89" t="s">
        <v>681</v>
      </c>
      <c r="CQ125" s="89" t="s">
        <v>681</v>
      </c>
      <c r="CR125" s="89" t="s">
        <v>681</v>
      </c>
      <c r="CS125" s="89" t="s">
        <v>681</v>
      </c>
      <c r="CT125" s="89" t="s">
        <v>681</v>
      </c>
      <c r="CU125" s="89" t="s">
        <v>681</v>
      </c>
      <c r="CV125" s="89" t="s">
        <v>681</v>
      </c>
      <c r="CW125" s="89" t="s">
        <v>681</v>
      </c>
      <c r="CX125" s="89" t="s">
        <v>681</v>
      </c>
      <c r="CY125" s="89" t="s">
        <v>681</v>
      </c>
      <c r="CZ125" s="89" t="s">
        <v>681</v>
      </c>
      <c r="DA125" s="89" t="s">
        <v>681</v>
      </c>
      <c r="DB125" s="89" t="s">
        <v>681</v>
      </c>
      <c r="DC125" s="89" t="s">
        <v>681</v>
      </c>
      <c r="DD125" s="89" t="s">
        <v>681</v>
      </c>
      <c r="DE125" s="89" t="s">
        <v>681</v>
      </c>
      <c r="DF125" s="89" t="s">
        <v>681</v>
      </c>
      <c r="DG125" s="89" t="s">
        <v>681</v>
      </c>
      <c r="DH125" s="89" t="s">
        <v>681</v>
      </c>
      <c r="DI125" s="89" t="s">
        <v>681</v>
      </c>
      <c r="DJ125" s="89" t="s">
        <v>681</v>
      </c>
      <c r="DK125" s="89" t="s">
        <v>681</v>
      </c>
      <c r="DL125" s="89" t="s">
        <v>681</v>
      </c>
      <c r="DM125" s="89" t="s">
        <v>681</v>
      </c>
      <c r="DN125" s="89" t="s">
        <v>681</v>
      </c>
      <c r="DO125" s="89" t="s">
        <v>681</v>
      </c>
      <c r="DP125" s="89" t="s">
        <v>681</v>
      </c>
      <c r="DQ125" s="89" t="s">
        <v>681</v>
      </c>
      <c r="DR125" s="89" t="s">
        <v>681</v>
      </c>
      <c r="DS125" s="89" t="s">
        <v>681</v>
      </c>
      <c r="DT125" s="89" t="s">
        <v>681</v>
      </c>
      <c r="DU125" s="89" t="s">
        <v>681</v>
      </c>
      <c r="DV125" s="89" t="s">
        <v>681</v>
      </c>
    </row>
    <row r="126" spans="2:126">
      <c r="B126" s="92" t="s">
        <v>979</v>
      </c>
      <c r="C126" s="83" t="s">
        <v>1018</v>
      </c>
      <c r="J126" s="86" t="s">
        <v>145</v>
      </c>
      <c r="K126" s="87">
        <v>0</v>
      </c>
      <c r="L126" s="96">
        <v>45658</v>
      </c>
      <c r="M126" s="96">
        <v>45658</v>
      </c>
      <c r="N126" s="86" t="s">
        <v>791</v>
      </c>
      <c r="O126" s="96">
        <v>45658</v>
      </c>
      <c r="P126" s="86" t="s">
        <v>791</v>
      </c>
      <c r="Q126" s="96">
        <v>45658</v>
      </c>
      <c r="R126" s="86" t="s">
        <v>791</v>
      </c>
      <c r="S126" s="86" t="s">
        <v>455</v>
      </c>
      <c r="T126" s="87">
        <v>20250101</v>
      </c>
      <c r="U126" s="87">
        <v>99991231</v>
      </c>
      <c r="V126" s="86" t="s">
        <v>455</v>
      </c>
      <c r="W126" s="86" t="s">
        <v>837</v>
      </c>
      <c r="X126" s="86" t="s">
        <v>838</v>
      </c>
      <c r="Y126" s="86" t="s">
        <v>839</v>
      </c>
      <c r="Z126" s="89" t="s">
        <v>681</v>
      </c>
      <c r="AA126" s="89" t="s">
        <v>681</v>
      </c>
      <c r="AB126" s="89" t="s">
        <v>681</v>
      </c>
      <c r="AC126" s="89" t="s">
        <v>681</v>
      </c>
      <c r="AD126" s="89" t="s">
        <v>681</v>
      </c>
      <c r="AE126" s="89" t="s">
        <v>681</v>
      </c>
      <c r="AF126" s="89" t="s">
        <v>681</v>
      </c>
      <c r="AG126" s="89" t="s">
        <v>681</v>
      </c>
      <c r="AH126" s="89" t="s">
        <v>681</v>
      </c>
      <c r="AI126" s="89" t="s">
        <v>681</v>
      </c>
      <c r="AJ126" s="89" t="s">
        <v>681</v>
      </c>
      <c r="AK126" s="89" t="s">
        <v>681</v>
      </c>
      <c r="AL126" s="89" t="s">
        <v>681</v>
      </c>
      <c r="AM126" s="89" t="s">
        <v>681</v>
      </c>
      <c r="AN126" s="89" t="s">
        <v>681</v>
      </c>
      <c r="AO126" s="89" t="s">
        <v>681</v>
      </c>
      <c r="AP126" s="89" t="s">
        <v>681</v>
      </c>
      <c r="AQ126" s="89" t="s">
        <v>681</v>
      </c>
      <c r="AR126" s="89" t="s">
        <v>681</v>
      </c>
      <c r="AS126" s="89" t="s">
        <v>681</v>
      </c>
      <c r="AT126" s="89" t="s">
        <v>681</v>
      </c>
      <c r="AU126" s="89" t="s">
        <v>681</v>
      </c>
      <c r="AV126" s="89" t="s">
        <v>681</v>
      </c>
      <c r="AW126" s="89" t="s">
        <v>681</v>
      </c>
      <c r="AX126" s="89" t="s">
        <v>681</v>
      </c>
      <c r="AY126" s="89" t="s">
        <v>681</v>
      </c>
      <c r="AZ126" s="89" t="s">
        <v>681</v>
      </c>
      <c r="BA126" s="89" t="s">
        <v>681</v>
      </c>
      <c r="BB126" s="89" t="s">
        <v>681</v>
      </c>
      <c r="BC126" s="89" t="s">
        <v>681</v>
      </c>
      <c r="BD126" s="89" t="s">
        <v>681</v>
      </c>
      <c r="BE126" s="89" t="s">
        <v>681</v>
      </c>
      <c r="BF126" s="89" t="s">
        <v>681</v>
      </c>
      <c r="BG126" s="89" t="s">
        <v>681</v>
      </c>
      <c r="BH126" s="89" t="s">
        <v>681</v>
      </c>
      <c r="BI126" s="89" t="s">
        <v>681</v>
      </c>
      <c r="BJ126" s="89" t="s">
        <v>681</v>
      </c>
      <c r="BK126" s="89" t="s">
        <v>681</v>
      </c>
      <c r="BL126" s="89" t="s">
        <v>681</v>
      </c>
      <c r="BM126" s="89" t="s">
        <v>681</v>
      </c>
      <c r="BN126" s="89" t="s">
        <v>681</v>
      </c>
      <c r="BO126" s="89" t="s">
        <v>681</v>
      </c>
      <c r="BP126" s="89" t="s">
        <v>681</v>
      </c>
      <c r="BQ126" s="89" t="s">
        <v>681</v>
      </c>
      <c r="BR126" s="89" t="s">
        <v>681</v>
      </c>
      <c r="BS126" s="89" t="s">
        <v>681</v>
      </c>
      <c r="BT126" s="89" t="s">
        <v>681</v>
      </c>
      <c r="BU126" s="89" t="s">
        <v>681</v>
      </c>
      <c r="BV126" s="89" t="s">
        <v>681</v>
      </c>
      <c r="BW126" s="89" t="s">
        <v>681</v>
      </c>
      <c r="BX126" s="89" t="s">
        <v>681</v>
      </c>
      <c r="BY126" s="89" t="s">
        <v>681</v>
      </c>
      <c r="BZ126" s="89" t="s">
        <v>681</v>
      </c>
      <c r="CA126" s="89" t="s">
        <v>681</v>
      </c>
      <c r="CB126" s="89" t="s">
        <v>681</v>
      </c>
      <c r="CC126" s="89" t="s">
        <v>681</v>
      </c>
      <c r="CD126" s="89" t="s">
        <v>681</v>
      </c>
      <c r="CE126" s="89" t="s">
        <v>681</v>
      </c>
      <c r="CF126" s="89" t="s">
        <v>681</v>
      </c>
      <c r="CG126" s="89" t="s">
        <v>681</v>
      </c>
      <c r="CH126" s="89" t="s">
        <v>681</v>
      </c>
      <c r="CI126" s="89" t="s">
        <v>681</v>
      </c>
      <c r="CJ126" s="89" t="s">
        <v>681</v>
      </c>
      <c r="CK126" s="89" t="s">
        <v>681</v>
      </c>
      <c r="CL126" s="89" t="s">
        <v>681</v>
      </c>
      <c r="CM126" s="89" t="s">
        <v>681</v>
      </c>
      <c r="CN126" s="89" t="s">
        <v>681</v>
      </c>
      <c r="CO126" s="89" t="s">
        <v>681</v>
      </c>
      <c r="CP126" s="89" t="s">
        <v>681</v>
      </c>
      <c r="CQ126" s="89" t="s">
        <v>681</v>
      </c>
      <c r="CR126" s="89" t="s">
        <v>681</v>
      </c>
      <c r="CS126" s="89" t="s">
        <v>681</v>
      </c>
      <c r="CT126" s="89" t="s">
        <v>681</v>
      </c>
      <c r="CU126" s="89" t="s">
        <v>681</v>
      </c>
      <c r="CV126" s="89" t="s">
        <v>681</v>
      </c>
      <c r="CW126" s="89" t="s">
        <v>681</v>
      </c>
      <c r="CX126" s="89" t="s">
        <v>681</v>
      </c>
      <c r="CY126" s="89" t="s">
        <v>681</v>
      </c>
      <c r="CZ126" s="89" t="s">
        <v>681</v>
      </c>
      <c r="DA126" s="89" t="s">
        <v>681</v>
      </c>
      <c r="DB126" s="89" t="s">
        <v>681</v>
      </c>
      <c r="DC126" s="89" t="s">
        <v>681</v>
      </c>
      <c r="DD126" s="89" t="s">
        <v>681</v>
      </c>
      <c r="DE126" s="89" t="s">
        <v>681</v>
      </c>
      <c r="DF126" s="89" t="s">
        <v>681</v>
      </c>
      <c r="DG126" s="89" t="s">
        <v>681</v>
      </c>
      <c r="DH126" s="89" t="s">
        <v>681</v>
      </c>
      <c r="DI126" s="89" t="s">
        <v>681</v>
      </c>
      <c r="DJ126" s="89" t="s">
        <v>681</v>
      </c>
      <c r="DK126" s="89" t="s">
        <v>681</v>
      </c>
      <c r="DL126" s="89" t="s">
        <v>681</v>
      </c>
      <c r="DM126" s="89" t="s">
        <v>681</v>
      </c>
      <c r="DN126" s="89" t="s">
        <v>681</v>
      </c>
      <c r="DO126" s="89" t="s">
        <v>681</v>
      </c>
      <c r="DP126" s="89" t="s">
        <v>681</v>
      </c>
      <c r="DQ126" s="89" t="s">
        <v>681</v>
      </c>
      <c r="DR126" s="89" t="s">
        <v>681</v>
      </c>
      <c r="DS126" s="89" t="s">
        <v>681</v>
      </c>
      <c r="DT126" s="89" t="s">
        <v>681</v>
      </c>
      <c r="DU126" s="89" t="s">
        <v>681</v>
      </c>
      <c r="DV126" s="89" t="s">
        <v>681</v>
      </c>
    </row>
    <row r="127" spans="2:126">
      <c r="B127" s="92" t="s">
        <v>979</v>
      </c>
      <c r="C127" s="83" t="s">
        <v>1018</v>
      </c>
      <c r="J127" s="86" t="s">
        <v>145</v>
      </c>
      <c r="K127" s="87">
        <v>0</v>
      </c>
      <c r="L127" s="96">
        <v>45658</v>
      </c>
      <c r="M127" s="96">
        <v>45658</v>
      </c>
      <c r="N127" s="86" t="s">
        <v>791</v>
      </c>
      <c r="O127" s="96">
        <v>45658</v>
      </c>
      <c r="P127" s="86" t="s">
        <v>791</v>
      </c>
      <c r="Q127" s="96">
        <v>45658</v>
      </c>
      <c r="R127" s="86" t="s">
        <v>791</v>
      </c>
      <c r="S127" s="86" t="s">
        <v>454</v>
      </c>
      <c r="T127" s="87">
        <v>20250101</v>
      </c>
      <c r="U127" s="87">
        <v>99991231</v>
      </c>
      <c r="V127" s="86" t="s">
        <v>454</v>
      </c>
      <c r="W127" s="86" t="s">
        <v>840</v>
      </c>
      <c r="X127" s="86" t="s">
        <v>841</v>
      </c>
      <c r="Y127" s="86" t="s">
        <v>842</v>
      </c>
      <c r="Z127" s="89" t="s">
        <v>681</v>
      </c>
      <c r="AA127" s="89" t="s">
        <v>681</v>
      </c>
      <c r="AB127" s="89" t="s">
        <v>681</v>
      </c>
      <c r="AC127" s="89" t="s">
        <v>681</v>
      </c>
      <c r="AD127" s="89" t="s">
        <v>681</v>
      </c>
      <c r="AE127" s="89" t="s">
        <v>681</v>
      </c>
      <c r="AF127" s="89" t="s">
        <v>681</v>
      </c>
      <c r="AG127" s="89" t="s">
        <v>681</v>
      </c>
      <c r="AH127" s="89" t="s">
        <v>681</v>
      </c>
      <c r="AI127" s="89" t="s">
        <v>681</v>
      </c>
      <c r="AJ127" s="89" t="s">
        <v>681</v>
      </c>
      <c r="AK127" s="89" t="s">
        <v>681</v>
      </c>
      <c r="AL127" s="89" t="s">
        <v>681</v>
      </c>
      <c r="AM127" s="89" t="s">
        <v>681</v>
      </c>
      <c r="AN127" s="89" t="s">
        <v>681</v>
      </c>
      <c r="AO127" s="89" t="s">
        <v>681</v>
      </c>
      <c r="AP127" s="89" t="s">
        <v>681</v>
      </c>
      <c r="AQ127" s="89" t="s">
        <v>681</v>
      </c>
      <c r="AR127" s="89" t="s">
        <v>681</v>
      </c>
      <c r="AS127" s="89" t="s">
        <v>681</v>
      </c>
      <c r="AT127" s="89" t="s">
        <v>681</v>
      </c>
      <c r="AU127" s="89" t="s">
        <v>681</v>
      </c>
      <c r="AV127" s="89" t="s">
        <v>681</v>
      </c>
      <c r="AW127" s="89" t="s">
        <v>681</v>
      </c>
      <c r="AX127" s="89" t="s">
        <v>681</v>
      </c>
      <c r="AY127" s="89" t="s">
        <v>681</v>
      </c>
      <c r="AZ127" s="89" t="s">
        <v>681</v>
      </c>
      <c r="BA127" s="89" t="s">
        <v>681</v>
      </c>
      <c r="BB127" s="89" t="s">
        <v>681</v>
      </c>
      <c r="BC127" s="89" t="s">
        <v>681</v>
      </c>
      <c r="BD127" s="89" t="s">
        <v>681</v>
      </c>
      <c r="BE127" s="89" t="s">
        <v>681</v>
      </c>
      <c r="BF127" s="89" t="s">
        <v>681</v>
      </c>
      <c r="BG127" s="89" t="s">
        <v>681</v>
      </c>
      <c r="BH127" s="89" t="s">
        <v>681</v>
      </c>
      <c r="BI127" s="89" t="s">
        <v>681</v>
      </c>
      <c r="BJ127" s="89" t="s">
        <v>681</v>
      </c>
      <c r="BK127" s="89" t="s">
        <v>681</v>
      </c>
      <c r="BL127" s="89" t="s">
        <v>681</v>
      </c>
      <c r="BM127" s="89" t="s">
        <v>681</v>
      </c>
      <c r="BN127" s="89" t="s">
        <v>681</v>
      </c>
      <c r="BO127" s="89" t="s">
        <v>681</v>
      </c>
      <c r="BP127" s="89" t="s">
        <v>681</v>
      </c>
      <c r="BQ127" s="89" t="s">
        <v>681</v>
      </c>
      <c r="BR127" s="89" t="s">
        <v>681</v>
      </c>
      <c r="BS127" s="89" t="s">
        <v>681</v>
      </c>
      <c r="BT127" s="89" t="s">
        <v>681</v>
      </c>
      <c r="BU127" s="89" t="s">
        <v>681</v>
      </c>
      <c r="BV127" s="89" t="s">
        <v>681</v>
      </c>
      <c r="BW127" s="89" t="s">
        <v>681</v>
      </c>
      <c r="BX127" s="89" t="s">
        <v>681</v>
      </c>
      <c r="BY127" s="89" t="s">
        <v>681</v>
      </c>
      <c r="BZ127" s="89" t="s">
        <v>681</v>
      </c>
      <c r="CA127" s="89" t="s">
        <v>681</v>
      </c>
      <c r="CB127" s="89" t="s">
        <v>681</v>
      </c>
      <c r="CC127" s="89" t="s">
        <v>681</v>
      </c>
      <c r="CD127" s="89" t="s">
        <v>681</v>
      </c>
      <c r="CE127" s="89" t="s">
        <v>681</v>
      </c>
      <c r="CF127" s="89" t="s">
        <v>681</v>
      </c>
      <c r="CG127" s="89" t="s">
        <v>681</v>
      </c>
      <c r="CH127" s="89" t="s">
        <v>681</v>
      </c>
      <c r="CI127" s="89" t="s">
        <v>681</v>
      </c>
      <c r="CJ127" s="89" t="s">
        <v>681</v>
      </c>
      <c r="CK127" s="89" t="s">
        <v>681</v>
      </c>
      <c r="CL127" s="89" t="s">
        <v>681</v>
      </c>
      <c r="CM127" s="89" t="s">
        <v>681</v>
      </c>
      <c r="CN127" s="89" t="s">
        <v>681</v>
      </c>
      <c r="CO127" s="89" t="s">
        <v>681</v>
      </c>
      <c r="CP127" s="89" t="s">
        <v>681</v>
      </c>
      <c r="CQ127" s="89" t="s">
        <v>681</v>
      </c>
      <c r="CR127" s="89" t="s">
        <v>681</v>
      </c>
      <c r="CS127" s="89" t="s">
        <v>681</v>
      </c>
      <c r="CT127" s="89" t="s">
        <v>681</v>
      </c>
      <c r="CU127" s="89" t="s">
        <v>681</v>
      </c>
      <c r="CV127" s="89" t="s">
        <v>681</v>
      </c>
      <c r="CW127" s="89" t="s">
        <v>681</v>
      </c>
      <c r="CX127" s="89" t="s">
        <v>681</v>
      </c>
      <c r="CY127" s="89" t="s">
        <v>681</v>
      </c>
      <c r="CZ127" s="89" t="s">
        <v>681</v>
      </c>
      <c r="DA127" s="89" t="s">
        <v>681</v>
      </c>
      <c r="DB127" s="89" t="s">
        <v>681</v>
      </c>
      <c r="DC127" s="89" t="s">
        <v>681</v>
      </c>
      <c r="DD127" s="89" t="s">
        <v>681</v>
      </c>
      <c r="DE127" s="89" t="s">
        <v>681</v>
      </c>
      <c r="DF127" s="89" t="s">
        <v>681</v>
      </c>
      <c r="DG127" s="89" t="s">
        <v>681</v>
      </c>
      <c r="DH127" s="89" t="s">
        <v>681</v>
      </c>
      <c r="DI127" s="89" t="s">
        <v>681</v>
      </c>
      <c r="DJ127" s="89" t="s">
        <v>681</v>
      </c>
      <c r="DK127" s="89" t="s">
        <v>681</v>
      </c>
      <c r="DL127" s="89" t="s">
        <v>681</v>
      </c>
      <c r="DM127" s="89" t="s">
        <v>681</v>
      </c>
      <c r="DN127" s="89" t="s">
        <v>681</v>
      </c>
      <c r="DO127" s="89" t="s">
        <v>681</v>
      </c>
      <c r="DP127" s="89" t="s">
        <v>681</v>
      </c>
      <c r="DQ127" s="89" t="s">
        <v>681</v>
      </c>
      <c r="DR127" s="89" t="s">
        <v>681</v>
      </c>
      <c r="DS127" s="89" t="s">
        <v>681</v>
      </c>
      <c r="DT127" s="89" t="s">
        <v>681</v>
      </c>
      <c r="DU127" s="89" t="s">
        <v>681</v>
      </c>
      <c r="DV127" s="89" t="s">
        <v>681</v>
      </c>
    </row>
    <row r="128" spans="2:126">
      <c r="B128" s="92" t="s">
        <v>979</v>
      </c>
      <c r="C128" s="83" t="s">
        <v>1018</v>
      </c>
      <c r="J128" s="86" t="s">
        <v>145</v>
      </c>
      <c r="K128" s="87">
        <v>0</v>
      </c>
      <c r="L128" s="96">
        <v>45658</v>
      </c>
      <c r="M128" s="96">
        <v>45658</v>
      </c>
      <c r="N128" s="86" t="s">
        <v>791</v>
      </c>
      <c r="O128" s="96">
        <v>45658</v>
      </c>
      <c r="P128" s="86" t="s">
        <v>791</v>
      </c>
      <c r="Q128" s="96">
        <v>45658</v>
      </c>
      <c r="R128" s="86" t="s">
        <v>791</v>
      </c>
      <c r="S128" s="86" t="s">
        <v>492</v>
      </c>
      <c r="T128" s="87">
        <v>20250101</v>
      </c>
      <c r="U128" s="87">
        <v>99991231</v>
      </c>
      <c r="V128" s="86" t="s">
        <v>492</v>
      </c>
      <c r="W128" s="86" t="s">
        <v>843</v>
      </c>
      <c r="X128" s="86" t="s">
        <v>844</v>
      </c>
      <c r="Y128" s="86" t="s">
        <v>845</v>
      </c>
      <c r="Z128" s="89" t="s">
        <v>681</v>
      </c>
      <c r="AA128" s="89" t="s">
        <v>681</v>
      </c>
      <c r="AB128" s="89" t="s">
        <v>681</v>
      </c>
      <c r="AC128" s="89" t="s">
        <v>681</v>
      </c>
      <c r="AD128" s="89" t="s">
        <v>681</v>
      </c>
      <c r="AE128" s="89" t="s">
        <v>681</v>
      </c>
      <c r="AF128" s="89" t="s">
        <v>681</v>
      </c>
      <c r="AG128" s="89" t="s">
        <v>681</v>
      </c>
      <c r="AH128" s="89" t="s">
        <v>681</v>
      </c>
      <c r="AI128" s="89" t="s">
        <v>681</v>
      </c>
      <c r="AJ128" s="89" t="s">
        <v>681</v>
      </c>
      <c r="AK128" s="89" t="s">
        <v>681</v>
      </c>
      <c r="AL128" s="89" t="s">
        <v>681</v>
      </c>
      <c r="AM128" s="89" t="s">
        <v>681</v>
      </c>
      <c r="AN128" s="89" t="s">
        <v>681</v>
      </c>
      <c r="AO128" s="89" t="s">
        <v>681</v>
      </c>
      <c r="AP128" s="89" t="s">
        <v>681</v>
      </c>
      <c r="AQ128" s="89" t="s">
        <v>681</v>
      </c>
      <c r="AR128" s="89" t="s">
        <v>681</v>
      </c>
      <c r="AS128" s="89" t="s">
        <v>681</v>
      </c>
      <c r="AT128" s="89" t="s">
        <v>681</v>
      </c>
      <c r="AU128" s="89" t="s">
        <v>681</v>
      </c>
      <c r="AV128" s="89" t="s">
        <v>681</v>
      </c>
      <c r="AW128" s="89" t="s">
        <v>681</v>
      </c>
      <c r="AX128" s="89" t="s">
        <v>681</v>
      </c>
      <c r="AY128" s="89" t="s">
        <v>681</v>
      </c>
      <c r="AZ128" s="89" t="s">
        <v>681</v>
      </c>
      <c r="BA128" s="89" t="s">
        <v>681</v>
      </c>
      <c r="BB128" s="89" t="s">
        <v>681</v>
      </c>
      <c r="BC128" s="89" t="s">
        <v>681</v>
      </c>
      <c r="BD128" s="89" t="s">
        <v>681</v>
      </c>
      <c r="BE128" s="89" t="s">
        <v>681</v>
      </c>
      <c r="BF128" s="89" t="s">
        <v>681</v>
      </c>
      <c r="BG128" s="89" t="s">
        <v>681</v>
      </c>
      <c r="BH128" s="89" t="s">
        <v>681</v>
      </c>
      <c r="BI128" s="89" t="s">
        <v>681</v>
      </c>
      <c r="BJ128" s="89" t="s">
        <v>681</v>
      </c>
      <c r="BK128" s="89" t="s">
        <v>681</v>
      </c>
      <c r="BL128" s="89" t="s">
        <v>681</v>
      </c>
      <c r="BM128" s="89" t="s">
        <v>681</v>
      </c>
      <c r="BN128" s="89" t="s">
        <v>681</v>
      </c>
      <c r="BO128" s="89" t="s">
        <v>681</v>
      </c>
      <c r="BP128" s="89" t="s">
        <v>681</v>
      </c>
      <c r="BQ128" s="89" t="s">
        <v>681</v>
      </c>
      <c r="BR128" s="89" t="s">
        <v>681</v>
      </c>
      <c r="BS128" s="89" t="s">
        <v>681</v>
      </c>
      <c r="BT128" s="89" t="s">
        <v>681</v>
      </c>
      <c r="BU128" s="89" t="s">
        <v>681</v>
      </c>
      <c r="BV128" s="89" t="s">
        <v>681</v>
      </c>
      <c r="BW128" s="89" t="s">
        <v>681</v>
      </c>
      <c r="BX128" s="89" t="s">
        <v>681</v>
      </c>
      <c r="BY128" s="89" t="s">
        <v>681</v>
      </c>
      <c r="BZ128" s="89" t="s">
        <v>681</v>
      </c>
      <c r="CA128" s="89" t="s">
        <v>681</v>
      </c>
      <c r="CB128" s="89" t="s">
        <v>681</v>
      </c>
      <c r="CC128" s="89" t="s">
        <v>681</v>
      </c>
      <c r="CD128" s="89" t="s">
        <v>681</v>
      </c>
      <c r="CE128" s="89" t="s">
        <v>681</v>
      </c>
      <c r="CF128" s="89" t="s">
        <v>681</v>
      </c>
      <c r="CG128" s="89" t="s">
        <v>681</v>
      </c>
      <c r="CH128" s="89" t="s">
        <v>681</v>
      </c>
      <c r="CI128" s="89" t="s">
        <v>681</v>
      </c>
      <c r="CJ128" s="89" t="s">
        <v>681</v>
      </c>
      <c r="CK128" s="89" t="s">
        <v>681</v>
      </c>
      <c r="CL128" s="89" t="s">
        <v>681</v>
      </c>
      <c r="CM128" s="89" t="s">
        <v>681</v>
      </c>
      <c r="CN128" s="89" t="s">
        <v>681</v>
      </c>
      <c r="CO128" s="89" t="s">
        <v>681</v>
      </c>
      <c r="CP128" s="89" t="s">
        <v>681</v>
      </c>
      <c r="CQ128" s="89" t="s">
        <v>681</v>
      </c>
      <c r="CR128" s="89" t="s">
        <v>681</v>
      </c>
      <c r="CS128" s="89" t="s">
        <v>681</v>
      </c>
      <c r="CT128" s="89" t="s">
        <v>681</v>
      </c>
      <c r="CU128" s="89" t="s">
        <v>681</v>
      </c>
      <c r="CV128" s="89" t="s">
        <v>681</v>
      </c>
      <c r="CW128" s="89" t="s">
        <v>681</v>
      </c>
      <c r="CX128" s="89" t="s">
        <v>681</v>
      </c>
      <c r="CY128" s="89" t="s">
        <v>681</v>
      </c>
      <c r="CZ128" s="89" t="s">
        <v>681</v>
      </c>
      <c r="DA128" s="89" t="s">
        <v>681</v>
      </c>
      <c r="DB128" s="89" t="s">
        <v>681</v>
      </c>
      <c r="DC128" s="89" t="s">
        <v>681</v>
      </c>
      <c r="DD128" s="89" t="s">
        <v>681</v>
      </c>
      <c r="DE128" s="89" t="s">
        <v>681</v>
      </c>
      <c r="DF128" s="89" t="s">
        <v>681</v>
      </c>
      <c r="DG128" s="89" t="s">
        <v>681</v>
      </c>
      <c r="DH128" s="89" t="s">
        <v>681</v>
      </c>
      <c r="DI128" s="89" t="s">
        <v>681</v>
      </c>
      <c r="DJ128" s="89" t="s">
        <v>681</v>
      </c>
      <c r="DK128" s="89" t="s">
        <v>681</v>
      </c>
      <c r="DL128" s="89" t="s">
        <v>681</v>
      </c>
      <c r="DM128" s="89" t="s">
        <v>681</v>
      </c>
      <c r="DN128" s="89" t="s">
        <v>681</v>
      </c>
      <c r="DO128" s="89" t="s">
        <v>681</v>
      </c>
      <c r="DP128" s="89" t="s">
        <v>681</v>
      </c>
      <c r="DQ128" s="89" t="s">
        <v>681</v>
      </c>
      <c r="DR128" s="89" t="s">
        <v>681</v>
      </c>
      <c r="DS128" s="89" t="s">
        <v>681</v>
      </c>
      <c r="DT128" s="89" t="s">
        <v>681</v>
      </c>
      <c r="DU128" s="89" t="s">
        <v>681</v>
      </c>
      <c r="DV128" s="89" t="s">
        <v>681</v>
      </c>
    </row>
    <row r="129" spans="2:126">
      <c r="B129" s="92" t="s">
        <v>979</v>
      </c>
      <c r="C129" s="83" t="s">
        <v>1018</v>
      </c>
      <c r="J129" s="86" t="s">
        <v>145</v>
      </c>
      <c r="K129" s="87">
        <v>0</v>
      </c>
      <c r="L129" s="96">
        <v>45658</v>
      </c>
      <c r="M129" s="96">
        <v>45658</v>
      </c>
      <c r="N129" s="86" t="s">
        <v>791</v>
      </c>
      <c r="O129" s="96">
        <v>45658</v>
      </c>
      <c r="P129" s="86" t="s">
        <v>791</v>
      </c>
      <c r="Q129" s="96">
        <v>45658</v>
      </c>
      <c r="R129" s="86" t="s">
        <v>791</v>
      </c>
      <c r="S129" s="86" t="s">
        <v>493</v>
      </c>
      <c r="T129" s="87">
        <v>20250101</v>
      </c>
      <c r="U129" s="87">
        <v>99991231</v>
      </c>
      <c r="V129" s="86" t="s">
        <v>493</v>
      </c>
      <c r="W129" s="86" t="s">
        <v>846</v>
      </c>
      <c r="X129" s="86" t="s">
        <v>847</v>
      </c>
      <c r="Y129" s="86" t="s">
        <v>848</v>
      </c>
      <c r="Z129" s="89" t="s">
        <v>681</v>
      </c>
      <c r="AA129" s="89" t="s">
        <v>681</v>
      </c>
      <c r="AB129" s="89" t="s">
        <v>681</v>
      </c>
      <c r="AC129" s="89" t="s">
        <v>681</v>
      </c>
      <c r="AD129" s="89" t="s">
        <v>681</v>
      </c>
      <c r="AE129" s="89" t="s">
        <v>681</v>
      </c>
      <c r="AF129" s="89" t="s">
        <v>681</v>
      </c>
      <c r="AG129" s="89" t="s">
        <v>681</v>
      </c>
      <c r="AH129" s="89" t="s">
        <v>681</v>
      </c>
      <c r="AI129" s="89" t="s">
        <v>681</v>
      </c>
      <c r="AJ129" s="89" t="s">
        <v>681</v>
      </c>
      <c r="AK129" s="89" t="s">
        <v>681</v>
      </c>
      <c r="AL129" s="89" t="s">
        <v>681</v>
      </c>
      <c r="AM129" s="89" t="s">
        <v>681</v>
      </c>
      <c r="AN129" s="89" t="s">
        <v>681</v>
      </c>
      <c r="AO129" s="89" t="s">
        <v>681</v>
      </c>
      <c r="AP129" s="89" t="s">
        <v>681</v>
      </c>
      <c r="AQ129" s="89" t="s">
        <v>681</v>
      </c>
      <c r="AR129" s="89" t="s">
        <v>681</v>
      </c>
      <c r="AS129" s="89" t="s">
        <v>681</v>
      </c>
      <c r="AT129" s="89" t="s">
        <v>681</v>
      </c>
      <c r="AU129" s="89" t="s">
        <v>681</v>
      </c>
      <c r="AV129" s="89" t="s">
        <v>681</v>
      </c>
      <c r="AW129" s="89" t="s">
        <v>681</v>
      </c>
      <c r="AX129" s="89" t="s">
        <v>681</v>
      </c>
      <c r="AY129" s="89" t="s">
        <v>681</v>
      </c>
      <c r="AZ129" s="89" t="s">
        <v>681</v>
      </c>
      <c r="BA129" s="89" t="s">
        <v>681</v>
      </c>
      <c r="BB129" s="89" t="s">
        <v>681</v>
      </c>
      <c r="BC129" s="89" t="s">
        <v>681</v>
      </c>
      <c r="BD129" s="89" t="s">
        <v>681</v>
      </c>
      <c r="BE129" s="89" t="s">
        <v>681</v>
      </c>
      <c r="BF129" s="89" t="s">
        <v>681</v>
      </c>
      <c r="BG129" s="89" t="s">
        <v>681</v>
      </c>
      <c r="BH129" s="89" t="s">
        <v>681</v>
      </c>
      <c r="BI129" s="89" t="s">
        <v>681</v>
      </c>
      <c r="BJ129" s="89" t="s">
        <v>681</v>
      </c>
      <c r="BK129" s="89" t="s">
        <v>681</v>
      </c>
      <c r="BL129" s="89" t="s">
        <v>681</v>
      </c>
      <c r="BM129" s="89" t="s">
        <v>681</v>
      </c>
      <c r="BN129" s="89" t="s">
        <v>681</v>
      </c>
      <c r="BO129" s="89" t="s">
        <v>681</v>
      </c>
      <c r="BP129" s="89" t="s">
        <v>681</v>
      </c>
      <c r="BQ129" s="89" t="s">
        <v>681</v>
      </c>
      <c r="BR129" s="89" t="s">
        <v>681</v>
      </c>
      <c r="BS129" s="89" t="s">
        <v>681</v>
      </c>
      <c r="BT129" s="89" t="s">
        <v>681</v>
      </c>
      <c r="BU129" s="89" t="s">
        <v>681</v>
      </c>
      <c r="BV129" s="89" t="s">
        <v>681</v>
      </c>
      <c r="BW129" s="89" t="s">
        <v>681</v>
      </c>
      <c r="BX129" s="89" t="s">
        <v>681</v>
      </c>
      <c r="BY129" s="89" t="s">
        <v>681</v>
      </c>
      <c r="BZ129" s="89" t="s">
        <v>681</v>
      </c>
      <c r="CA129" s="89" t="s">
        <v>681</v>
      </c>
      <c r="CB129" s="89" t="s">
        <v>681</v>
      </c>
      <c r="CC129" s="89" t="s">
        <v>681</v>
      </c>
      <c r="CD129" s="89" t="s">
        <v>681</v>
      </c>
      <c r="CE129" s="89" t="s">
        <v>681</v>
      </c>
      <c r="CF129" s="89" t="s">
        <v>681</v>
      </c>
      <c r="CG129" s="89" t="s">
        <v>681</v>
      </c>
      <c r="CH129" s="89" t="s">
        <v>681</v>
      </c>
      <c r="CI129" s="89" t="s">
        <v>681</v>
      </c>
      <c r="CJ129" s="89" t="s">
        <v>681</v>
      </c>
      <c r="CK129" s="89" t="s">
        <v>681</v>
      </c>
      <c r="CL129" s="89" t="s">
        <v>681</v>
      </c>
      <c r="CM129" s="89" t="s">
        <v>681</v>
      </c>
      <c r="CN129" s="89" t="s">
        <v>681</v>
      </c>
      <c r="CO129" s="89" t="s">
        <v>681</v>
      </c>
      <c r="CP129" s="89" t="s">
        <v>681</v>
      </c>
      <c r="CQ129" s="89" t="s">
        <v>681</v>
      </c>
      <c r="CR129" s="89" t="s">
        <v>681</v>
      </c>
      <c r="CS129" s="89" t="s">
        <v>681</v>
      </c>
      <c r="CT129" s="89" t="s">
        <v>681</v>
      </c>
      <c r="CU129" s="89" t="s">
        <v>681</v>
      </c>
      <c r="CV129" s="89" t="s">
        <v>681</v>
      </c>
      <c r="CW129" s="89" t="s">
        <v>681</v>
      </c>
      <c r="CX129" s="89" t="s">
        <v>681</v>
      </c>
      <c r="CY129" s="89" t="s">
        <v>681</v>
      </c>
      <c r="CZ129" s="89" t="s">
        <v>681</v>
      </c>
      <c r="DA129" s="89" t="s">
        <v>681</v>
      </c>
      <c r="DB129" s="89" t="s">
        <v>681</v>
      </c>
      <c r="DC129" s="89" t="s">
        <v>681</v>
      </c>
      <c r="DD129" s="89" t="s">
        <v>681</v>
      </c>
      <c r="DE129" s="89" t="s">
        <v>681</v>
      </c>
      <c r="DF129" s="89" t="s">
        <v>681</v>
      </c>
      <c r="DG129" s="89" t="s">
        <v>681</v>
      </c>
      <c r="DH129" s="89" t="s">
        <v>681</v>
      </c>
      <c r="DI129" s="89" t="s">
        <v>681</v>
      </c>
      <c r="DJ129" s="89" t="s">
        <v>681</v>
      </c>
      <c r="DK129" s="89" t="s">
        <v>681</v>
      </c>
      <c r="DL129" s="89" t="s">
        <v>681</v>
      </c>
      <c r="DM129" s="89" t="s">
        <v>681</v>
      </c>
      <c r="DN129" s="89" t="s">
        <v>681</v>
      </c>
      <c r="DO129" s="89" t="s">
        <v>681</v>
      </c>
      <c r="DP129" s="89" t="s">
        <v>681</v>
      </c>
      <c r="DQ129" s="89" t="s">
        <v>681</v>
      </c>
      <c r="DR129" s="89" t="s">
        <v>681</v>
      </c>
      <c r="DS129" s="89" t="s">
        <v>681</v>
      </c>
      <c r="DT129" s="89" t="s">
        <v>681</v>
      </c>
      <c r="DU129" s="89" t="s">
        <v>681</v>
      </c>
      <c r="DV129" s="89" t="s">
        <v>681</v>
      </c>
    </row>
    <row r="130" spans="2:126">
      <c r="B130" s="92" t="s">
        <v>979</v>
      </c>
      <c r="C130" s="83" t="s">
        <v>1018</v>
      </c>
      <c r="J130" s="86" t="s">
        <v>145</v>
      </c>
      <c r="K130" s="87">
        <v>0</v>
      </c>
      <c r="L130" s="96">
        <v>45658</v>
      </c>
      <c r="M130" s="96">
        <v>45658</v>
      </c>
      <c r="N130" s="86" t="s">
        <v>791</v>
      </c>
      <c r="O130" s="96">
        <v>45658</v>
      </c>
      <c r="P130" s="86" t="s">
        <v>791</v>
      </c>
      <c r="Q130" s="96">
        <v>45658</v>
      </c>
      <c r="R130" s="86" t="s">
        <v>791</v>
      </c>
      <c r="S130" s="86" t="s">
        <v>663</v>
      </c>
      <c r="T130" s="87">
        <v>20250101</v>
      </c>
      <c r="U130" s="87">
        <v>99991231</v>
      </c>
      <c r="V130" s="86" t="s">
        <v>663</v>
      </c>
      <c r="W130" s="86" t="s">
        <v>849</v>
      </c>
      <c r="X130" s="86" t="s">
        <v>850</v>
      </c>
      <c r="Y130" s="86" t="s">
        <v>851</v>
      </c>
      <c r="Z130" s="89" t="s">
        <v>681</v>
      </c>
      <c r="AA130" s="89" t="s">
        <v>681</v>
      </c>
      <c r="AB130" s="89" t="s">
        <v>681</v>
      </c>
      <c r="AC130" s="89" t="s">
        <v>681</v>
      </c>
      <c r="AD130" s="89" t="s">
        <v>681</v>
      </c>
      <c r="AE130" s="89" t="s">
        <v>681</v>
      </c>
      <c r="AF130" s="89" t="s">
        <v>681</v>
      </c>
      <c r="AG130" s="89" t="s">
        <v>681</v>
      </c>
      <c r="AH130" s="89" t="s">
        <v>681</v>
      </c>
      <c r="AI130" s="89" t="s">
        <v>681</v>
      </c>
      <c r="AJ130" s="89" t="s">
        <v>681</v>
      </c>
      <c r="AK130" s="89" t="s">
        <v>681</v>
      </c>
      <c r="AL130" s="89" t="s">
        <v>681</v>
      </c>
      <c r="AM130" s="89" t="s">
        <v>681</v>
      </c>
      <c r="AN130" s="89" t="s">
        <v>681</v>
      </c>
      <c r="AO130" s="89" t="s">
        <v>681</v>
      </c>
      <c r="AP130" s="89" t="s">
        <v>681</v>
      </c>
      <c r="AQ130" s="89" t="s">
        <v>681</v>
      </c>
      <c r="AR130" s="89" t="s">
        <v>681</v>
      </c>
      <c r="AS130" s="89" t="s">
        <v>681</v>
      </c>
      <c r="AT130" s="89" t="s">
        <v>681</v>
      </c>
      <c r="AU130" s="89" t="s">
        <v>681</v>
      </c>
      <c r="AV130" s="89" t="s">
        <v>681</v>
      </c>
      <c r="AW130" s="89" t="s">
        <v>681</v>
      </c>
      <c r="AX130" s="89" t="s">
        <v>681</v>
      </c>
      <c r="AY130" s="89" t="s">
        <v>681</v>
      </c>
      <c r="AZ130" s="89" t="s">
        <v>681</v>
      </c>
      <c r="BA130" s="89" t="s">
        <v>681</v>
      </c>
      <c r="BB130" s="89" t="s">
        <v>681</v>
      </c>
      <c r="BC130" s="89" t="s">
        <v>681</v>
      </c>
      <c r="BD130" s="89" t="s">
        <v>681</v>
      </c>
      <c r="BE130" s="89" t="s">
        <v>681</v>
      </c>
      <c r="BF130" s="89" t="s">
        <v>681</v>
      </c>
      <c r="BG130" s="89" t="s">
        <v>681</v>
      </c>
      <c r="BH130" s="89" t="s">
        <v>681</v>
      </c>
      <c r="BI130" s="89" t="s">
        <v>681</v>
      </c>
      <c r="BJ130" s="89" t="s">
        <v>681</v>
      </c>
      <c r="BK130" s="89" t="s">
        <v>681</v>
      </c>
      <c r="BL130" s="89" t="s">
        <v>681</v>
      </c>
      <c r="BM130" s="89" t="s">
        <v>681</v>
      </c>
      <c r="BN130" s="89" t="s">
        <v>681</v>
      </c>
      <c r="BO130" s="89" t="s">
        <v>681</v>
      </c>
      <c r="BP130" s="89" t="s">
        <v>681</v>
      </c>
      <c r="BQ130" s="89" t="s">
        <v>681</v>
      </c>
      <c r="BR130" s="89" t="s">
        <v>681</v>
      </c>
      <c r="BS130" s="89" t="s">
        <v>681</v>
      </c>
      <c r="BT130" s="89" t="s">
        <v>681</v>
      </c>
      <c r="BU130" s="89" t="s">
        <v>681</v>
      </c>
      <c r="BV130" s="89" t="s">
        <v>681</v>
      </c>
      <c r="BW130" s="89" t="s">
        <v>681</v>
      </c>
      <c r="BX130" s="89" t="s">
        <v>681</v>
      </c>
      <c r="BY130" s="89" t="s">
        <v>681</v>
      </c>
      <c r="BZ130" s="89" t="s">
        <v>681</v>
      </c>
      <c r="CA130" s="89" t="s">
        <v>681</v>
      </c>
      <c r="CB130" s="89" t="s">
        <v>681</v>
      </c>
      <c r="CC130" s="89" t="s">
        <v>681</v>
      </c>
      <c r="CD130" s="89" t="s">
        <v>681</v>
      </c>
      <c r="CE130" s="89" t="s">
        <v>681</v>
      </c>
      <c r="CF130" s="89" t="s">
        <v>681</v>
      </c>
      <c r="CG130" s="89" t="s">
        <v>681</v>
      </c>
      <c r="CH130" s="89" t="s">
        <v>681</v>
      </c>
      <c r="CI130" s="89" t="s">
        <v>681</v>
      </c>
      <c r="CJ130" s="89" t="s">
        <v>681</v>
      </c>
      <c r="CK130" s="89" t="s">
        <v>681</v>
      </c>
      <c r="CL130" s="89" t="s">
        <v>681</v>
      </c>
      <c r="CM130" s="89" t="s">
        <v>681</v>
      </c>
      <c r="CN130" s="89" t="s">
        <v>681</v>
      </c>
      <c r="CO130" s="89" t="s">
        <v>681</v>
      </c>
      <c r="CP130" s="89" t="s">
        <v>681</v>
      </c>
      <c r="CQ130" s="89" t="s">
        <v>681</v>
      </c>
      <c r="CR130" s="89" t="s">
        <v>681</v>
      </c>
      <c r="CS130" s="89" t="s">
        <v>681</v>
      </c>
      <c r="CT130" s="89" t="s">
        <v>681</v>
      </c>
      <c r="CU130" s="89" t="s">
        <v>681</v>
      </c>
      <c r="CV130" s="89" t="s">
        <v>681</v>
      </c>
      <c r="CW130" s="89" t="s">
        <v>681</v>
      </c>
      <c r="CX130" s="89" t="s">
        <v>681</v>
      </c>
      <c r="CY130" s="89" t="s">
        <v>681</v>
      </c>
      <c r="CZ130" s="89" t="s">
        <v>681</v>
      </c>
      <c r="DA130" s="89" t="s">
        <v>681</v>
      </c>
      <c r="DB130" s="89" t="s">
        <v>681</v>
      </c>
      <c r="DC130" s="89" t="s">
        <v>681</v>
      </c>
      <c r="DD130" s="89" t="s">
        <v>681</v>
      </c>
      <c r="DE130" s="89" t="s">
        <v>681</v>
      </c>
      <c r="DF130" s="89" t="s">
        <v>681</v>
      </c>
      <c r="DG130" s="89" t="s">
        <v>681</v>
      </c>
      <c r="DH130" s="89" t="s">
        <v>681</v>
      </c>
      <c r="DI130" s="89" t="s">
        <v>681</v>
      </c>
      <c r="DJ130" s="89" t="s">
        <v>681</v>
      </c>
      <c r="DK130" s="89" t="s">
        <v>681</v>
      </c>
      <c r="DL130" s="89" t="s">
        <v>681</v>
      </c>
      <c r="DM130" s="89" t="s">
        <v>681</v>
      </c>
      <c r="DN130" s="89" t="s">
        <v>681</v>
      </c>
      <c r="DO130" s="89" t="s">
        <v>681</v>
      </c>
      <c r="DP130" s="89" t="s">
        <v>681</v>
      </c>
      <c r="DQ130" s="89" t="s">
        <v>681</v>
      </c>
      <c r="DR130" s="89" t="s">
        <v>681</v>
      </c>
      <c r="DS130" s="89" t="s">
        <v>681</v>
      </c>
      <c r="DT130" s="89" t="s">
        <v>681</v>
      </c>
      <c r="DU130" s="89" t="s">
        <v>681</v>
      </c>
      <c r="DV130" s="89" t="s">
        <v>681</v>
      </c>
    </row>
    <row r="131" spans="2:126">
      <c r="B131" s="92" t="s">
        <v>979</v>
      </c>
      <c r="C131" s="83" t="s">
        <v>1018</v>
      </c>
      <c r="J131" s="86" t="s">
        <v>145</v>
      </c>
      <c r="K131" s="87">
        <v>0</v>
      </c>
      <c r="L131" s="96">
        <v>45658</v>
      </c>
      <c r="M131" s="96">
        <v>45658</v>
      </c>
      <c r="N131" s="86" t="s">
        <v>791</v>
      </c>
      <c r="O131" s="96">
        <v>45658</v>
      </c>
      <c r="P131" s="86" t="s">
        <v>791</v>
      </c>
      <c r="Q131" s="96">
        <v>45658</v>
      </c>
      <c r="R131" s="86" t="s">
        <v>791</v>
      </c>
      <c r="S131" s="86" t="s">
        <v>665</v>
      </c>
      <c r="T131" s="87">
        <v>20250101</v>
      </c>
      <c r="U131" s="87">
        <v>99991231</v>
      </c>
      <c r="V131" s="86" t="s">
        <v>665</v>
      </c>
      <c r="W131" s="86" t="s">
        <v>852</v>
      </c>
      <c r="X131" s="86" t="s">
        <v>853</v>
      </c>
      <c r="Y131" s="86" t="s">
        <v>854</v>
      </c>
      <c r="Z131" s="89" t="s">
        <v>681</v>
      </c>
      <c r="AA131" s="89" t="s">
        <v>681</v>
      </c>
      <c r="AB131" s="89" t="s">
        <v>681</v>
      </c>
      <c r="AC131" s="89" t="s">
        <v>681</v>
      </c>
      <c r="AD131" s="89" t="s">
        <v>681</v>
      </c>
      <c r="AE131" s="89" t="s">
        <v>681</v>
      </c>
      <c r="AF131" s="89" t="s">
        <v>681</v>
      </c>
      <c r="AG131" s="89" t="s">
        <v>681</v>
      </c>
      <c r="AH131" s="89" t="s">
        <v>681</v>
      </c>
      <c r="AI131" s="89" t="s">
        <v>681</v>
      </c>
      <c r="AJ131" s="89" t="s">
        <v>681</v>
      </c>
      <c r="AK131" s="89" t="s">
        <v>681</v>
      </c>
      <c r="AL131" s="89" t="s">
        <v>681</v>
      </c>
      <c r="AM131" s="89" t="s">
        <v>681</v>
      </c>
      <c r="AN131" s="89" t="s">
        <v>681</v>
      </c>
      <c r="AO131" s="89" t="s">
        <v>681</v>
      </c>
      <c r="AP131" s="89" t="s">
        <v>681</v>
      </c>
      <c r="AQ131" s="89" t="s">
        <v>681</v>
      </c>
      <c r="AR131" s="89" t="s">
        <v>681</v>
      </c>
      <c r="AS131" s="89" t="s">
        <v>681</v>
      </c>
      <c r="AT131" s="89" t="s">
        <v>681</v>
      </c>
      <c r="AU131" s="89" t="s">
        <v>681</v>
      </c>
      <c r="AV131" s="89" t="s">
        <v>681</v>
      </c>
      <c r="AW131" s="89" t="s">
        <v>681</v>
      </c>
      <c r="AX131" s="89" t="s">
        <v>681</v>
      </c>
      <c r="AY131" s="89" t="s">
        <v>681</v>
      </c>
      <c r="AZ131" s="89" t="s">
        <v>681</v>
      </c>
      <c r="BA131" s="89" t="s">
        <v>681</v>
      </c>
      <c r="BB131" s="89" t="s">
        <v>681</v>
      </c>
      <c r="BC131" s="89" t="s">
        <v>681</v>
      </c>
      <c r="BD131" s="89" t="s">
        <v>681</v>
      </c>
      <c r="BE131" s="89" t="s">
        <v>681</v>
      </c>
      <c r="BF131" s="89" t="s">
        <v>681</v>
      </c>
      <c r="BG131" s="89" t="s">
        <v>681</v>
      </c>
      <c r="BH131" s="89" t="s">
        <v>681</v>
      </c>
      <c r="BI131" s="89" t="s">
        <v>681</v>
      </c>
      <c r="BJ131" s="89" t="s">
        <v>681</v>
      </c>
      <c r="BK131" s="89" t="s">
        <v>681</v>
      </c>
      <c r="BL131" s="89" t="s">
        <v>681</v>
      </c>
      <c r="BM131" s="89" t="s">
        <v>681</v>
      </c>
      <c r="BN131" s="89" t="s">
        <v>681</v>
      </c>
      <c r="BO131" s="89" t="s">
        <v>681</v>
      </c>
      <c r="BP131" s="89" t="s">
        <v>681</v>
      </c>
      <c r="BQ131" s="89" t="s">
        <v>681</v>
      </c>
      <c r="BR131" s="89" t="s">
        <v>681</v>
      </c>
      <c r="BS131" s="89" t="s">
        <v>681</v>
      </c>
      <c r="BT131" s="89" t="s">
        <v>681</v>
      </c>
      <c r="BU131" s="89" t="s">
        <v>681</v>
      </c>
      <c r="BV131" s="89" t="s">
        <v>681</v>
      </c>
      <c r="BW131" s="89" t="s">
        <v>681</v>
      </c>
      <c r="BX131" s="89" t="s">
        <v>681</v>
      </c>
      <c r="BY131" s="89" t="s">
        <v>681</v>
      </c>
      <c r="BZ131" s="89" t="s">
        <v>681</v>
      </c>
      <c r="CA131" s="89" t="s">
        <v>681</v>
      </c>
      <c r="CB131" s="89" t="s">
        <v>681</v>
      </c>
      <c r="CC131" s="89" t="s">
        <v>681</v>
      </c>
      <c r="CD131" s="89" t="s">
        <v>681</v>
      </c>
      <c r="CE131" s="89" t="s">
        <v>681</v>
      </c>
      <c r="CF131" s="89" t="s">
        <v>681</v>
      </c>
      <c r="CG131" s="89" t="s">
        <v>681</v>
      </c>
      <c r="CH131" s="89" t="s">
        <v>681</v>
      </c>
      <c r="CI131" s="89" t="s">
        <v>681</v>
      </c>
      <c r="CJ131" s="89" t="s">
        <v>681</v>
      </c>
      <c r="CK131" s="89" t="s">
        <v>681</v>
      </c>
      <c r="CL131" s="89" t="s">
        <v>681</v>
      </c>
      <c r="CM131" s="89" t="s">
        <v>681</v>
      </c>
      <c r="CN131" s="89" t="s">
        <v>681</v>
      </c>
      <c r="CO131" s="89" t="s">
        <v>681</v>
      </c>
      <c r="CP131" s="89" t="s">
        <v>681</v>
      </c>
      <c r="CQ131" s="89" t="s">
        <v>681</v>
      </c>
      <c r="CR131" s="89" t="s">
        <v>681</v>
      </c>
      <c r="CS131" s="89" t="s">
        <v>681</v>
      </c>
      <c r="CT131" s="89" t="s">
        <v>681</v>
      </c>
      <c r="CU131" s="89" t="s">
        <v>681</v>
      </c>
      <c r="CV131" s="89" t="s">
        <v>681</v>
      </c>
      <c r="CW131" s="89" t="s">
        <v>681</v>
      </c>
      <c r="CX131" s="89" t="s">
        <v>681</v>
      </c>
      <c r="CY131" s="89" t="s">
        <v>681</v>
      </c>
      <c r="CZ131" s="89" t="s">
        <v>681</v>
      </c>
      <c r="DA131" s="89" t="s">
        <v>681</v>
      </c>
      <c r="DB131" s="89" t="s">
        <v>681</v>
      </c>
      <c r="DC131" s="89" t="s">
        <v>681</v>
      </c>
      <c r="DD131" s="89" t="s">
        <v>681</v>
      </c>
      <c r="DE131" s="89" t="s">
        <v>681</v>
      </c>
      <c r="DF131" s="89" t="s">
        <v>681</v>
      </c>
      <c r="DG131" s="89" t="s">
        <v>681</v>
      </c>
      <c r="DH131" s="89" t="s">
        <v>681</v>
      </c>
      <c r="DI131" s="89" t="s">
        <v>681</v>
      </c>
      <c r="DJ131" s="89" t="s">
        <v>681</v>
      </c>
      <c r="DK131" s="89" t="s">
        <v>681</v>
      </c>
      <c r="DL131" s="89" t="s">
        <v>681</v>
      </c>
      <c r="DM131" s="89" t="s">
        <v>681</v>
      </c>
      <c r="DN131" s="89" t="s">
        <v>681</v>
      </c>
      <c r="DO131" s="89" t="s">
        <v>681</v>
      </c>
      <c r="DP131" s="89" t="s">
        <v>681</v>
      </c>
      <c r="DQ131" s="89" t="s">
        <v>681</v>
      </c>
      <c r="DR131" s="89" t="s">
        <v>681</v>
      </c>
      <c r="DS131" s="89" t="s">
        <v>681</v>
      </c>
      <c r="DT131" s="89" t="s">
        <v>681</v>
      </c>
      <c r="DU131" s="89" t="s">
        <v>681</v>
      </c>
      <c r="DV131" s="89" t="s">
        <v>681</v>
      </c>
    </row>
    <row r="132" spans="2:126">
      <c r="B132" s="92" t="s">
        <v>979</v>
      </c>
      <c r="C132" s="83" t="s">
        <v>1018</v>
      </c>
      <c r="J132" s="86" t="s">
        <v>145</v>
      </c>
      <c r="K132" s="87">
        <v>0</v>
      </c>
      <c r="L132" s="96">
        <v>45658</v>
      </c>
      <c r="M132" s="96">
        <v>45658</v>
      </c>
      <c r="N132" s="86" t="s">
        <v>791</v>
      </c>
      <c r="O132" s="96">
        <v>45658</v>
      </c>
      <c r="P132" s="86" t="s">
        <v>791</v>
      </c>
      <c r="Q132" s="96">
        <v>45658</v>
      </c>
      <c r="R132" s="86" t="s">
        <v>791</v>
      </c>
      <c r="S132" s="86" t="s">
        <v>666</v>
      </c>
      <c r="T132" s="87">
        <v>20250101</v>
      </c>
      <c r="U132" s="87">
        <v>99991231</v>
      </c>
      <c r="V132" s="86" t="s">
        <v>666</v>
      </c>
      <c r="W132" s="86" t="s">
        <v>855</v>
      </c>
      <c r="X132" s="86" t="s">
        <v>856</v>
      </c>
      <c r="Y132" s="86" t="s">
        <v>857</v>
      </c>
      <c r="Z132" s="89" t="s">
        <v>681</v>
      </c>
      <c r="AA132" s="89" t="s">
        <v>681</v>
      </c>
      <c r="AB132" s="89" t="s">
        <v>681</v>
      </c>
      <c r="AC132" s="89" t="s">
        <v>681</v>
      </c>
      <c r="AD132" s="89" t="s">
        <v>681</v>
      </c>
      <c r="AE132" s="89" t="s">
        <v>681</v>
      </c>
      <c r="AF132" s="89" t="s">
        <v>681</v>
      </c>
      <c r="AG132" s="89" t="s">
        <v>681</v>
      </c>
      <c r="AH132" s="89" t="s">
        <v>681</v>
      </c>
      <c r="AI132" s="89" t="s">
        <v>681</v>
      </c>
      <c r="AJ132" s="89" t="s">
        <v>681</v>
      </c>
      <c r="AK132" s="89" t="s">
        <v>681</v>
      </c>
      <c r="AL132" s="89" t="s">
        <v>681</v>
      </c>
      <c r="AM132" s="89" t="s">
        <v>681</v>
      </c>
      <c r="AN132" s="89" t="s">
        <v>681</v>
      </c>
      <c r="AO132" s="89" t="s">
        <v>681</v>
      </c>
      <c r="AP132" s="89" t="s">
        <v>681</v>
      </c>
      <c r="AQ132" s="89" t="s">
        <v>681</v>
      </c>
      <c r="AR132" s="89" t="s">
        <v>681</v>
      </c>
      <c r="AS132" s="89" t="s">
        <v>681</v>
      </c>
      <c r="AT132" s="89" t="s">
        <v>681</v>
      </c>
      <c r="AU132" s="89" t="s">
        <v>681</v>
      </c>
      <c r="AV132" s="89" t="s">
        <v>681</v>
      </c>
      <c r="AW132" s="89" t="s">
        <v>681</v>
      </c>
      <c r="AX132" s="89" t="s">
        <v>681</v>
      </c>
      <c r="AY132" s="89" t="s">
        <v>681</v>
      </c>
      <c r="AZ132" s="89" t="s">
        <v>681</v>
      </c>
      <c r="BA132" s="89" t="s">
        <v>681</v>
      </c>
      <c r="BB132" s="89" t="s">
        <v>681</v>
      </c>
      <c r="BC132" s="89" t="s">
        <v>681</v>
      </c>
      <c r="BD132" s="89" t="s">
        <v>681</v>
      </c>
      <c r="BE132" s="89" t="s">
        <v>681</v>
      </c>
      <c r="BF132" s="89" t="s">
        <v>681</v>
      </c>
      <c r="BG132" s="89" t="s">
        <v>681</v>
      </c>
      <c r="BH132" s="89" t="s">
        <v>681</v>
      </c>
      <c r="BI132" s="89" t="s">
        <v>681</v>
      </c>
      <c r="BJ132" s="89" t="s">
        <v>681</v>
      </c>
      <c r="BK132" s="89" t="s">
        <v>681</v>
      </c>
      <c r="BL132" s="89" t="s">
        <v>681</v>
      </c>
      <c r="BM132" s="89" t="s">
        <v>681</v>
      </c>
      <c r="BN132" s="89" t="s">
        <v>681</v>
      </c>
      <c r="BO132" s="89" t="s">
        <v>681</v>
      </c>
      <c r="BP132" s="89" t="s">
        <v>681</v>
      </c>
      <c r="BQ132" s="89" t="s">
        <v>681</v>
      </c>
      <c r="BR132" s="89" t="s">
        <v>681</v>
      </c>
      <c r="BS132" s="89" t="s">
        <v>681</v>
      </c>
      <c r="BT132" s="89" t="s">
        <v>681</v>
      </c>
      <c r="BU132" s="89" t="s">
        <v>681</v>
      </c>
      <c r="BV132" s="89" t="s">
        <v>681</v>
      </c>
      <c r="BW132" s="89" t="s">
        <v>681</v>
      </c>
      <c r="BX132" s="89" t="s">
        <v>681</v>
      </c>
      <c r="BY132" s="89" t="s">
        <v>681</v>
      </c>
      <c r="BZ132" s="89" t="s">
        <v>681</v>
      </c>
      <c r="CA132" s="89" t="s">
        <v>681</v>
      </c>
      <c r="CB132" s="89" t="s">
        <v>681</v>
      </c>
      <c r="CC132" s="89" t="s">
        <v>681</v>
      </c>
      <c r="CD132" s="89" t="s">
        <v>681</v>
      </c>
      <c r="CE132" s="89" t="s">
        <v>681</v>
      </c>
      <c r="CF132" s="89" t="s">
        <v>681</v>
      </c>
      <c r="CG132" s="89" t="s">
        <v>681</v>
      </c>
      <c r="CH132" s="89" t="s">
        <v>681</v>
      </c>
      <c r="CI132" s="89" t="s">
        <v>681</v>
      </c>
      <c r="CJ132" s="89" t="s">
        <v>681</v>
      </c>
      <c r="CK132" s="89" t="s">
        <v>681</v>
      </c>
      <c r="CL132" s="89" t="s">
        <v>681</v>
      </c>
      <c r="CM132" s="89" t="s">
        <v>681</v>
      </c>
      <c r="CN132" s="89" t="s">
        <v>681</v>
      </c>
      <c r="CO132" s="89" t="s">
        <v>681</v>
      </c>
      <c r="CP132" s="89" t="s">
        <v>681</v>
      </c>
      <c r="CQ132" s="89" t="s">
        <v>681</v>
      </c>
      <c r="CR132" s="89" t="s">
        <v>681</v>
      </c>
      <c r="CS132" s="89" t="s">
        <v>681</v>
      </c>
      <c r="CT132" s="89" t="s">
        <v>681</v>
      </c>
      <c r="CU132" s="89" t="s">
        <v>681</v>
      </c>
      <c r="CV132" s="89" t="s">
        <v>681</v>
      </c>
      <c r="CW132" s="89" t="s">
        <v>681</v>
      </c>
      <c r="CX132" s="89" t="s">
        <v>681</v>
      </c>
      <c r="CY132" s="89" t="s">
        <v>681</v>
      </c>
      <c r="CZ132" s="89" t="s">
        <v>681</v>
      </c>
      <c r="DA132" s="89" t="s">
        <v>681</v>
      </c>
      <c r="DB132" s="89" t="s">
        <v>681</v>
      </c>
      <c r="DC132" s="89" t="s">
        <v>681</v>
      </c>
      <c r="DD132" s="89" t="s">
        <v>681</v>
      </c>
      <c r="DE132" s="89" t="s">
        <v>681</v>
      </c>
      <c r="DF132" s="89" t="s">
        <v>681</v>
      </c>
      <c r="DG132" s="89" t="s">
        <v>681</v>
      </c>
      <c r="DH132" s="89" t="s">
        <v>681</v>
      </c>
      <c r="DI132" s="89" t="s">
        <v>681</v>
      </c>
      <c r="DJ132" s="89" t="s">
        <v>681</v>
      </c>
      <c r="DK132" s="89" t="s">
        <v>681</v>
      </c>
      <c r="DL132" s="89" t="s">
        <v>681</v>
      </c>
      <c r="DM132" s="89" t="s">
        <v>681</v>
      </c>
      <c r="DN132" s="89" t="s">
        <v>681</v>
      </c>
      <c r="DO132" s="89" t="s">
        <v>681</v>
      </c>
      <c r="DP132" s="89" t="s">
        <v>681</v>
      </c>
      <c r="DQ132" s="89" t="s">
        <v>681</v>
      </c>
      <c r="DR132" s="89" t="s">
        <v>681</v>
      </c>
      <c r="DS132" s="89" t="s">
        <v>681</v>
      </c>
      <c r="DT132" s="89" t="s">
        <v>681</v>
      </c>
      <c r="DU132" s="89" t="s">
        <v>681</v>
      </c>
      <c r="DV132" s="89" t="s">
        <v>681</v>
      </c>
    </row>
    <row r="139" spans="2:126">
      <c r="Z139" s="64" t="s">
        <v>774</v>
      </c>
    </row>
    <row r="140" spans="2:126">
      <c r="D140">
        <v>1</v>
      </c>
      <c r="E140" t="s">
        <v>141</v>
      </c>
      <c r="F140" t="s">
        <v>136</v>
      </c>
      <c r="G140" t="s">
        <v>140</v>
      </c>
      <c r="H140" t="s">
        <v>654</v>
      </c>
      <c r="I140" s="77" t="s">
        <v>655</v>
      </c>
      <c r="S140" s="104" t="s">
        <v>753</v>
      </c>
      <c r="T140" s="104" t="s">
        <v>754</v>
      </c>
    </row>
    <row r="141" spans="2:126" ht="14.25">
      <c r="J141" s="78" t="s">
        <v>41</v>
      </c>
      <c r="K141" s="78" t="s">
        <v>42</v>
      </c>
      <c r="L141" s="78" t="s">
        <v>43</v>
      </c>
      <c r="M141" s="78" t="s">
        <v>44</v>
      </c>
      <c r="N141" s="78" t="s">
        <v>79</v>
      </c>
      <c r="O141" s="78" t="s">
        <v>46</v>
      </c>
      <c r="P141" s="78" t="s">
        <v>80</v>
      </c>
      <c r="Q141" s="78" t="s">
        <v>47</v>
      </c>
      <c r="R141" s="78" t="s">
        <v>81</v>
      </c>
      <c r="S141" s="78" t="s">
        <v>616</v>
      </c>
      <c r="T141" s="78" t="s">
        <v>82</v>
      </c>
      <c r="U141" s="78" t="s">
        <v>83</v>
      </c>
      <c r="V141" s="78" t="s">
        <v>617</v>
      </c>
      <c r="W141" s="78" t="s">
        <v>618</v>
      </c>
      <c r="X141" s="78" t="s">
        <v>619</v>
      </c>
      <c r="Y141" s="78" t="s">
        <v>620</v>
      </c>
      <c r="Z141" s="78" t="s">
        <v>621</v>
      </c>
      <c r="AA141" s="78" t="s">
        <v>622</v>
      </c>
      <c r="AB141" s="78" t="s">
        <v>623</v>
      </c>
      <c r="AC141" s="78" t="s">
        <v>624</v>
      </c>
      <c r="AD141" s="78" t="s">
        <v>625</v>
      </c>
      <c r="AE141" s="78" t="s">
        <v>626</v>
      </c>
      <c r="AF141" s="78" t="s">
        <v>627</v>
      </c>
      <c r="AG141" s="78" t="s">
        <v>628</v>
      </c>
      <c r="AH141" s="78" t="s">
        <v>629</v>
      </c>
      <c r="AI141" s="78" t="s">
        <v>630</v>
      </c>
      <c r="AJ141" s="78" t="s">
        <v>631</v>
      </c>
      <c r="AK141" s="78" t="s">
        <v>632</v>
      </c>
      <c r="AL141" s="78" t="s">
        <v>633</v>
      </c>
    </row>
    <row r="142" spans="2:126" ht="14.25">
      <c r="B142" s="79" t="s">
        <v>74</v>
      </c>
      <c r="C142" s="80" t="s">
        <v>325</v>
      </c>
      <c r="J142" s="78" t="s">
        <v>51</v>
      </c>
      <c r="K142" s="78" t="s">
        <v>52</v>
      </c>
      <c r="L142" s="78" t="s">
        <v>53</v>
      </c>
      <c r="M142" s="78" t="s">
        <v>54</v>
      </c>
      <c r="N142" s="78" t="s">
        <v>55</v>
      </c>
      <c r="O142" s="78" t="s">
        <v>56</v>
      </c>
      <c r="P142" s="78" t="s">
        <v>57</v>
      </c>
      <c r="Q142" s="78" t="s">
        <v>58</v>
      </c>
      <c r="R142" s="78" t="s">
        <v>59</v>
      </c>
      <c r="S142" s="78" t="s">
        <v>634</v>
      </c>
      <c r="T142" s="78" t="s">
        <v>60</v>
      </c>
      <c r="U142" s="78" t="s">
        <v>61</v>
      </c>
      <c r="V142" s="78" t="s">
        <v>635</v>
      </c>
      <c r="W142" s="78" t="s">
        <v>636</v>
      </c>
      <c r="X142" s="78" t="s">
        <v>637</v>
      </c>
      <c r="Y142" s="78" t="s">
        <v>638</v>
      </c>
      <c r="Z142" s="78" t="s">
        <v>639</v>
      </c>
      <c r="AA142" s="78" t="s">
        <v>640</v>
      </c>
      <c r="AB142" s="78" t="s">
        <v>641</v>
      </c>
      <c r="AC142" s="78" t="s">
        <v>642</v>
      </c>
      <c r="AD142" s="78" t="s">
        <v>643</v>
      </c>
      <c r="AE142" s="78" t="s">
        <v>644</v>
      </c>
      <c r="AF142" s="78" t="s">
        <v>645</v>
      </c>
      <c r="AG142" s="78" t="s">
        <v>646</v>
      </c>
      <c r="AH142" s="78" t="s">
        <v>647</v>
      </c>
      <c r="AI142" s="78" t="s">
        <v>648</v>
      </c>
      <c r="AJ142" s="78" t="s">
        <v>649</v>
      </c>
      <c r="AK142" s="78" t="s">
        <v>650</v>
      </c>
      <c r="AL142" s="78" t="s">
        <v>651</v>
      </c>
    </row>
    <row r="143" spans="2:126">
      <c r="B143" s="92" t="s">
        <v>979</v>
      </c>
      <c r="C143" s="83">
        <v>1</v>
      </c>
      <c r="J143" s="86" t="s">
        <v>145</v>
      </c>
      <c r="K143" s="87">
        <v>0</v>
      </c>
      <c r="L143" s="96">
        <v>45658</v>
      </c>
      <c r="M143" s="96">
        <v>45658</v>
      </c>
      <c r="N143" s="86" t="s">
        <v>791</v>
      </c>
      <c r="O143" s="96">
        <v>45658</v>
      </c>
      <c r="P143" s="86" t="s">
        <v>791</v>
      </c>
      <c r="Q143" s="96">
        <v>45658</v>
      </c>
      <c r="R143" s="86" t="s">
        <v>791</v>
      </c>
      <c r="S143" s="86" t="s">
        <v>676</v>
      </c>
      <c r="T143" s="87">
        <v>20251201</v>
      </c>
      <c r="U143" s="87">
        <v>20251225</v>
      </c>
      <c r="V143" s="86" t="s">
        <v>146</v>
      </c>
      <c r="W143" s="86" t="s">
        <v>146</v>
      </c>
      <c r="X143" s="86" t="s">
        <v>872</v>
      </c>
      <c r="Y143" s="86" t="s">
        <v>873</v>
      </c>
      <c r="Z143" s="86" t="s">
        <v>997</v>
      </c>
      <c r="AA143" s="86" t="s">
        <v>874</v>
      </c>
      <c r="AB143" s="86" t="s">
        <v>875</v>
      </c>
      <c r="AC143" s="86" t="s">
        <v>876</v>
      </c>
      <c r="AD143" s="87">
        <v>20250101</v>
      </c>
      <c r="AE143" s="87">
        <v>0</v>
      </c>
      <c r="AF143" s="86" t="s">
        <v>146</v>
      </c>
      <c r="AG143" s="86" t="s">
        <v>146</v>
      </c>
      <c r="AH143" s="86" t="s">
        <v>261</v>
      </c>
      <c r="AI143" s="86" t="s">
        <v>877</v>
      </c>
      <c r="AJ143" s="86" t="s">
        <v>146</v>
      </c>
      <c r="AK143" s="86" t="s">
        <v>261</v>
      </c>
      <c r="AL143" s="87">
        <v>0</v>
      </c>
    </row>
    <row r="144" spans="2:126">
      <c r="B144" s="92" t="s">
        <v>994</v>
      </c>
      <c r="C144" s="83">
        <v>1</v>
      </c>
      <c r="J144" s="86" t="s">
        <v>145</v>
      </c>
      <c r="K144" s="87">
        <v>0</v>
      </c>
      <c r="L144" s="96">
        <v>45658</v>
      </c>
      <c r="M144" s="96">
        <v>45658</v>
      </c>
      <c r="N144" s="86" t="s">
        <v>791</v>
      </c>
      <c r="O144" s="96">
        <v>45658</v>
      </c>
      <c r="P144" s="86" t="s">
        <v>791</v>
      </c>
      <c r="Q144" s="96">
        <v>45658</v>
      </c>
      <c r="R144" s="86" t="s">
        <v>791</v>
      </c>
      <c r="S144" s="86" t="s">
        <v>995</v>
      </c>
      <c r="T144" s="87">
        <v>20251202</v>
      </c>
      <c r="U144" s="87">
        <v>20261225</v>
      </c>
      <c r="V144" s="86" t="s">
        <v>146</v>
      </c>
      <c r="W144" s="86" t="s">
        <v>146</v>
      </c>
      <c r="X144" s="86" t="s">
        <v>872</v>
      </c>
      <c r="Y144" s="86" t="s">
        <v>873</v>
      </c>
      <c r="Z144" s="86" t="s">
        <v>998</v>
      </c>
      <c r="AA144" s="86" t="s">
        <v>874</v>
      </c>
      <c r="AB144" s="86" t="s">
        <v>875</v>
      </c>
      <c r="AC144" s="86" t="s">
        <v>876</v>
      </c>
      <c r="AD144" s="87">
        <v>20250101</v>
      </c>
      <c r="AE144" s="87">
        <v>0</v>
      </c>
      <c r="AF144" s="86" t="s">
        <v>146</v>
      </c>
      <c r="AG144" s="86" t="s">
        <v>146</v>
      </c>
      <c r="AH144" s="86" t="s">
        <v>261</v>
      </c>
      <c r="AI144" s="86" t="s">
        <v>877</v>
      </c>
      <c r="AJ144" s="86" t="s">
        <v>146</v>
      </c>
      <c r="AK144" s="86" t="s">
        <v>261</v>
      </c>
      <c r="AL144" s="87">
        <v>0</v>
      </c>
    </row>
    <row r="145" spans="2:38">
      <c r="B145" s="92" t="s">
        <v>982</v>
      </c>
      <c r="C145" s="83">
        <v>1</v>
      </c>
      <c r="J145" s="86" t="s">
        <v>145</v>
      </c>
      <c r="K145" s="87">
        <v>0</v>
      </c>
      <c r="L145" s="96">
        <v>45658</v>
      </c>
      <c r="M145" s="96">
        <v>45658</v>
      </c>
      <c r="N145" s="86" t="s">
        <v>791</v>
      </c>
      <c r="O145" s="96">
        <v>45658</v>
      </c>
      <c r="P145" s="86" t="s">
        <v>791</v>
      </c>
      <c r="Q145" s="96">
        <v>45658</v>
      </c>
      <c r="R145" s="86" t="s">
        <v>791</v>
      </c>
      <c r="S145" s="86" t="s">
        <v>676</v>
      </c>
      <c r="T145" s="87">
        <v>20251226</v>
      </c>
      <c r="U145" s="87">
        <v>20270130</v>
      </c>
      <c r="V145" s="86" t="s">
        <v>146</v>
      </c>
      <c r="W145" s="86" t="s">
        <v>146</v>
      </c>
      <c r="X145" s="86" t="s">
        <v>872</v>
      </c>
      <c r="Y145" s="86" t="s">
        <v>873</v>
      </c>
      <c r="Z145" s="86" t="s">
        <v>999</v>
      </c>
      <c r="AA145" s="86" t="s">
        <v>874</v>
      </c>
      <c r="AB145" s="86" t="s">
        <v>875</v>
      </c>
      <c r="AC145" s="86" t="s">
        <v>876</v>
      </c>
      <c r="AD145" s="87">
        <v>20250101</v>
      </c>
      <c r="AE145" s="87">
        <v>0</v>
      </c>
      <c r="AF145" s="86" t="s">
        <v>146</v>
      </c>
      <c r="AG145" s="86" t="s">
        <v>146</v>
      </c>
      <c r="AH145" s="86" t="s">
        <v>261</v>
      </c>
      <c r="AI145" s="86" t="s">
        <v>877</v>
      </c>
      <c r="AJ145" s="86" t="s">
        <v>146</v>
      </c>
      <c r="AK145" s="86" t="s">
        <v>261</v>
      </c>
      <c r="AL145" s="87">
        <v>0</v>
      </c>
    </row>
    <row r="146" spans="2:38">
      <c r="B146" s="92" t="s">
        <v>980</v>
      </c>
      <c r="C146" s="83">
        <v>1</v>
      </c>
      <c r="J146" s="86" t="s">
        <v>456</v>
      </c>
      <c r="K146" s="87">
        <v>0</v>
      </c>
      <c r="L146" s="96">
        <v>45658</v>
      </c>
      <c r="M146" s="96">
        <v>45658</v>
      </c>
      <c r="N146" s="86" t="s">
        <v>791</v>
      </c>
      <c r="O146" s="96">
        <v>45658</v>
      </c>
      <c r="P146" s="86" t="s">
        <v>791</v>
      </c>
      <c r="Q146" s="96">
        <v>45658</v>
      </c>
      <c r="R146" s="86" t="s">
        <v>791</v>
      </c>
      <c r="S146" s="86" t="s">
        <v>676</v>
      </c>
      <c r="T146" s="87">
        <v>20250101</v>
      </c>
      <c r="U146" s="87">
        <v>20270130</v>
      </c>
      <c r="V146" s="86" t="s">
        <v>146</v>
      </c>
      <c r="W146" s="86" t="s">
        <v>146</v>
      </c>
      <c r="X146" s="86" t="s">
        <v>872</v>
      </c>
      <c r="Y146" s="86" t="s">
        <v>873</v>
      </c>
      <c r="Z146" s="86" t="s">
        <v>1000</v>
      </c>
      <c r="AA146" s="86" t="s">
        <v>874</v>
      </c>
      <c r="AB146" s="86" t="s">
        <v>875</v>
      </c>
      <c r="AC146" s="86" t="s">
        <v>876</v>
      </c>
      <c r="AD146" s="87">
        <v>20250101</v>
      </c>
      <c r="AE146" s="87">
        <v>0</v>
      </c>
      <c r="AF146" s="86" t="s">
        <v>146</v>
      </c>
      <c r="AG146" s="86" t="s">
        <v>146</v>
      </c>
      <c r="AH146" s="86" t="s">
        <v>261</v>
      </c>
      <c r="AI146" s="86" t="s">
        <v>877</v>
      </c>
      <c r="AJ146" s="86" t="s">
        <v>146</v>
      </c>
      <c r="AK146" s="86" t="s">
        <v>261</v>
      </c>
      <c r="AL146" s="87">
        <v>0</v>
      </c>
    </row>
    <row r="147" spans="2:38">
      <c r="B147" s="92" t="s">
        <v>979</v>
      </c>
      <c r="C147" s="83" t="s">
        <v>1018</v>
      </c>
      <c r="J147" s="86" t="s">
        <v>145</v>
      </c>
      <c r="K147" s="87">
        <v>0</v>
      </c>
      <c r="L147" s="96">
        <v>45658</v>
      </c>
      <c r="M147" s="96">
        <v>45658</v>
      </c>
      <c r="N147" s="86" t="s">
        <v>791</v>
      </c>
      <c r="O147" s="96">
        <v>45658</v>
      </c>
      <c r="P147" s="86" t="s">
        <v>791</v>
      </c>
      <c r="Q147" s="96">
        <v>45658</v>
      </c>
      <c r="R147" s="86" t="s">
        <v>791</v>
      </c>
      <c r="S147" s="86" t="s">
        <v>674</v>
      </c>
      <c r="T147" s="87">
        <v>20250101</v>
      </c>
      <c r="U147" s="87">
        <v>99991231</v>
      </c>
      <c r="V147" s="86" t="s">
        <v>146</v>
      </c>
      <c r="W147" s="86" t="s">
        <v>146</v>
      </c>
      <c r="X147" s="86" t="s">
        <v>858</v>
      </c>
      <c r="Y147" s="86" t="s">
        <v>859</v>
      </c>
      <c r="Z147" s="86" t="s">
        <v>860</v>
      </c>
      <c r="AA147" s="86" t="s">
        <v>861</v>
      </c>
      <c r="AB147" s="86" t="s">
        <v>862</v>
      </c>
      <c r="AC147" s="86" t="s">
        <v>863</v>
      </c>
      <c r="AD147" s="87">
        <v>20250101</v>
      </c>
      <c r="AE147" s="87">
        <v>0</v>
      </c>
      <c r="AF147" s="86" t="s">
        <v>146</v>
      </c>
      <c r="AG147" s="86" t="s">
        <v>146</v>
      </c>
      <c r="AH147" s="86" t="s">
        <v>261</v>
      </c>
      <c r="AI147" s="86" t="s">
        <v>864</v>
      </c>
      <c r="AJ147" s="86" t="s">
        <v>146</v>
      </c>
      <c r="AK147" s="86" t="s">
        <v>261</v>
      </c>
      <c r="AL147" s="87">
        <v>0</v>
      </c>
    </row>
    <row r="148" spans="2:38">
      <c r="B148" s="92" t="s">
        <v>979</v>
      </c>
      <c r="C148" s="83" t="s">
        <v>1018</v>
      </c>
      <c r="J148" s="86" t="s">
        <v>145</v>
      </c>
      <c r="K148" s="87">
        <v>0</v>
      </c>
      <c r="L148" s="96">
        <v>45658</v>
      </c>
      <c r="M148" s="96">
        <v>45658</v>
      </c>
      <c r="N148" s="86" t="s">
        <v>791</v>
      </c>
      <c r="O148" s="96">
        <v>45658</v>
      </c>
      <c r="P148" s="86" t="s">
        <v>791</v>
      </c>
      <c r="Q148" s="96">
        <v>45658</v>
      </c>
      <c r="R148" s="86" t="s">
        <v>791</v>
      </c>
      <c r="S148" s="86" t="s">
        <v>675</v>
      </c>
      <c r="T148" s="87">
        <v>20250101</v>
      </c>
      <c r="U148" s="87">
        <v>99991231</v>
      </c>
      <c r="V148" s="86" t="s">
        <v>146</v>
      </c>
      <c r="W148" s="86" t="s">
        <v>146</v>
      </c>
      <c r="X148" s="86" t="s">
        <v>865</v>
      </c>
      <c r="Y148" s="86" t="s">
        <v>866</v>
      </c>
      <c r="Z148" s="86" t="s">
        <v>867</v>
      </c>
      <c r="AA148" s="86" t="s">
        <v>868</v>
      </c>
      <c r="AB148" s="86" t="s">
        <v>869</v>
      </c>
      <c r="AC148" s="86" t="s">
        <v>870</v>
      </c>
      <c r="AD148" s="87">
        <v>20250101</v>
      </c>
      <c r="AE148" s="87">
        <v>0</v>
      </c>
      <c r="AF148" s="86" t="s">
        <v>146</v>
      </c>
      <c r="AG148" s="86" t="s">
        <v>146</v>
      </c>
      <c r="AH148" s="86" t="s">
        <v>261</v>
      </c>
      <c r="AI148" s="86" t="s">
        <v>871</v>
      </c>
      <c r="AJ148" s="86" t="s">
        <v>146</v>
      </c>
      <c r="AK148" s="86" t="s">
        <v>261</v>
      </c>
      <c r="AL148" s="87">
        <v>0</v>
      </c>
    </row>
  </sheetData>
  <mergeCells count="4">
    <mergeCell ref="A1:B1"/>
    <mergeCell ref="A2:B2"/>
    <mergeCell ref="A4:B4"/>
    <mergeCell ref="A27:B27"/>
  </mergeCells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3D68-CA36-49FB-834C-BD32397F097E}">
  <dimension ref="A1:AE221"/>
  <sheetViews>
    <sheetView zoomScale="70" zoomScaleNormal="70" workbookViewId="0"/>
  </sheetViews>
  <sheetFormatPr defaultRowHeight="13.5"/>
  <cols>
    <col min="4" max="4" width="14.875" bestFit="1" customWidth="1"/>
    <col min="5" max="5" width="17.25" bestFit="1" customWidth="1"/>
    <col min="6" max="6" width="13.5" bestFit="1" customWidth="1"/>
    <col min="7" max="7" width="6.25" bestFit="1" customWidth="1"/>
    <col min="8" max="8" width="34.625" bestFit="1" customWidth="1"/>
    <col min="9" max="9" width="51" bestFit="1" customWidth="1"/>
    <col min="10" max="10" width="31.625" customWidth="1"/>
    <col min="11" max="11" width="16.375" customWidth="1"/>
    <col min="12" max="12" width="18.375" customWidth="1"/>
    <col min="13" max="13" width="21.375" customWidth="1"/>
    <col min="14" max="14" width="20.5" customWidth="1"/>
    <col min="15" max="15" width="18.125" customWidth="1"/>
    <col min="16" max="16" width="21.125" customWidth="1"/>
    <col min="17" max="18" width="18.625" customWidth="1"/>
    <col min="19" max="19" width="15.875" customWidth="1"/>
    <col min="20" max="21" width="25.375" customWidth="1"/>
    <col min="22" max="22" width="15.875" customWidth="1"/>
    <col min="23" max="23" width="15.75" customWidth="1"/>
    <col min="24" max="24" width="15.5" customWidth="1"/>
    <col min="25" max="25" width="30" customWidth="1"/>
    <col min="26" max="26" width="15.75" customWidth="1"/>
    <col min="27" max="27" width="29.75" customWidth="1"/>
    <col min="31" max="31" width="17.125" customWidth="1"/>
    <col min="47" max="47" width="15.375" customWidth="1"/>
    <col min="49" max="49" width="14.875" customWidth="1"/>
    <col min="62" max="63" width="10.5" bestFit="1" customWidth="1"/>
  </cols>
  <sheetData>
    <row r="1" spans="1:31">
      <c r="D1" t="s">
        <v>134</v>
      </c>
      <c r="E1" t="s">
        <v>135</v>
      </c>
      <c r="F1" t="s">
        <v>133</v>
      </c>
      <c r="G1" t="s">
        <v>139</v>
      </c>
      <c r="H1" t="s">
        <v>143</v>
      </c>
      <c r="I1" t="s">
        <v>142</v>
      </c>
      <c r="K1" s="77"/>
    </row>
    <row r="4" spans="1:31">
      <c r="D4">
        <v>1</v>
      </c>
      <c r="E4">
        <v>1</v>
      </c>
      <c r="F4" t="s">
        <v>136</v>
      </c>
      <c r="G4" t="s">
        <v>138</v>
      </c>
      <c r="H4" t="s">
        <v>344</v>
      </c>
      <c r="I4" s="77" t="s">
        <v>345</v>
      </c>
    </row>
    <row r="5" spans="1:31">
      <c r="I5" s="77"/>
      <c r="J5" s="82" t="s">
        <v>349</v>
      </c>
      <c r="K5" s="82" t="s">
        <v>350</v>
      </c>
      <c r="L5" s="82" t="s">
        <v>351</v>
      </c>
      <c r="M5" s="82" t="s">
        <v>352</v>
      </c>
      <c r="N5" s="82" t="s">
        <v>353</v>
      </c>
      <c r="O5" s="82" t="s">
        <v>354</v>
      </c>
      <c r="P5" s="82" t="s">
        <v>355</v>
      </c>
      <c r="Q5" s="82" t="s">
        <v>356</v>
      </c>
      <c r="R5" s="82" t="s">
        <v>357</v>
      </c>
      <c r="S5" s="82" t="s">
        <v>358</v>
      </c>
      <c r="T5" s="82" t="s">
        <v>359</v>
      </c>
      <c r="U5" s="82" t="s">
        <v>360</v>
      </c>
      <c r="V5" s="82" t="s">
        <v>361</v>
      </c>
      <c r="W5" s="82" t="s">
        <v>75</v>
      </c>
      <c r="X5" s="82" t="s">
        <v>362</v>
      </c>
      <c r="Y5" s="82" t="s">
        <v>326</v>
      </c>
    </row>
    <row r="6" spans="1:31">
      <c r="I6" s="77"/>
      <c r="J6" s="82" t="s">
        <v>370</v>
      </c>
      <c r="K6" s="82" t="s">
        <v>371</v>
      </c>
      <c r="L6" s="82" t="s">
        <v>372</v>
      </c>
      <c r="M6" s="82" t="s">
        <v>373</v>
      </c>
      <c r="N6" s="82" t="s">
        <v>374</v>
      </c>
      <c r="O6" s="82" t="s">
        <v>375</v>
      </c>
      <c r="P6" s="82" t="s">
        <v>376</v>
      </c>
      <c r="Q6" s="82" t="s">
        <v>377</v>
      </c>
      <c r="R6" s="82" t="s">
        <v>378</v>
      </c>
      <c r="S6" s="82" t="s">
        <v>379</v>
      </c>
      <c r="T6" s="82" t="s">
        <v>380</v>
      </c>
      <c r="U6" s="82" t="s">
        <v>381</v>
      </c>
      <c r="V6" s="82" t="s">
        <v>382</v>
      </c>
      <c r="W6" s="82" t="s">
        <v>383</v>
      </c>
      <c r="X6" s="82" t="s">
        <v>384</v>
      </c>
      <c r="Y6" s="82" t="s">
        <v>395</v>
      </c>
    </row>
    <row r="7" spans="1:31">
      <c r="I7" s="77"/>
      <c r="J7" s="82" t="s">
        <v>392</v>
      </c>
      <c r="K7" s="82" t="s">
        <v>393</v>
      </c>
      <c r="L7" s="82" t="s">
        <v>393</v>
      </c>
      <c r="M7" s="82" t="s">
        <v>393</v>
      </c>
      <c r="N7" s="82" t="s">
        <v>393</v>
      </c>
      <c r="O7" s="82" t="s">
        <v>393</v>
      </c>
      <c r="P7" s="82" t="s">
        <v>393</v>
      </c>
      <c r="Q7" s="82" t="s">
        <v>393</v>
      </c>
      <c r="R7" s="82" t="s">
        <v>393</v>
      </c>
      <c r="S7" s="82" t="s">
        <v>393</v>
      </c>
      <c r="T7" s="82" t="s">
        <v>393</v>
      </c>
      <c r="U7" s="82" t="s">
        <v>393</v>
      </c>
      <c r="V7" s="82" t="s">
        <v>393</v>
      </c>
      <c r="W7" s="82" t="s">
        <v>393</v>
      </c>
      <c r="X7" s="82" t="s">
        <v>393</v>
      </c>
      <c r="Y7" s="82" t="s">
        <v>393</v>
      </c>
    </row>
    <row r="8" spans="1:31">
      <c r="A8" s="77"/>
      <c r="B8" s="77"/>
      <c r="C8" s="77"/>
      <c r="D8" s="77"/>
      <c r="E8" s="77"/>
      <c r="F8" s="77"/>
      <c r="G8" s="77"/>
      <c r="H8" s="77"/>
      <c r="I8" s="77"/>
      <c r="J8" s="107" t="s">
        <v>1012</v>
      </c>
      <c r="K8" s="65" t="s">
        <v>394</v>
      </c>
      <c r="L8" s="65" t="s">
        <v>394</v>
      </c>
      <c r="M8" s="65" t="s">
        <v>394</v>
      </c>
      <c r="N8" s="65" t="s">
        <v>394</v>
      </c>
      <c r="O8" s="65" t="s">
        <v>394</v>
      </c>
      <c r="P8" s="65" t="s">
        <v>394</v>
      </c>
      <c r="Q8" s="65" t="s">
        <v>394</v>
      </c>
      <c r="R8" s="65" t="s">
        <v>394</v>
      </c>
      <c r="S8" s="65" t="s">
        <v>394</v>
      </c>
      <c r="T8" s="65" t="s">
        <v>394</v>
      </c>
      <c r="U8" s="65" t="s">
        <v>394</v>
      </c>
      <c r="V8" s="65" t="s">
        <v>394</v>
      </c>
      <c r="W8" s="65" t="s">
        <v>394</v>
      </c>
      <c r="X8" s="65" t="s">
        <v>394</v>
      </c>
      <c r="Y8" s="90">
        <v>3</v>
      </c>
    </row>
    <row r="9" spans="1:31">
      <c r="A9" s="77"/>
      <c r="B9" s="77"/>
      <c r="C9" s="77"/>
      <c r="D9" s="77"/>
      <c r="E9" s="77"/>
      <c r="F9" s="77"/>
      <c r="G9" s="77"/>
      <c r="H9" s="77"/>
      <c r="I9" s="77"/>
    </row>
    <row r="11" spans="1:31">
      <c r="D11">
        <v>1</v>
      </c>
      <c r="E11">
        <v>1</v>
      </c>
      <c r="F11" t="s">
        <v>137</v>
      </c>
      <c r="G11" t="s">
        <v>138</v>
      </c>
      <c r="H11" t="s">
        <v>346</v>
      </c>
      <c r="I11" t="s">
        <v>347</v>
      </c>
    </row>
    <row r="12" spans="1:31">
      <c r="J12" s="82" t="s">
        <v>348</v>
      </c>
      <c r="K12" s="82" t="s">
        <v>349</v>
      </c>
      <c r="L12" s="82" t="s">
        <v>350</v>
      </c>
      <c r="M12" s="82" t="s">
        <v>351</v>
      </c>
      <c r="N12" s="82" t="s">
        <v>352</v>
      </c>
      <c r="O12" s="82" t="s">
        <v>353</v>
      </c>
      <c r="P12" s="82" t="s">
        <v>354</v>
      </c>
      <c r="Q12" s="82" t="s">
        <v>355</v>
      </c>
      <c r="R12" s="82" t="s">
        <v>356</v>
      </c>
      <c r="S12" s="82" t="s">
        <v>357</v>
      </c>
      <c r="T12" s="82" t="s">
        <v>358</v>
      </c>
      <c r="U12" s="82" t="s">
        <v>359</v>
      </c>
      <c r="V12" s="82" t="s">
        <v>360</v>
      </c>
      <c r="W12" s="82" t="s">
        <v>361</v>
      </c>
      <c r="X12" s="82" t="s">
        <v>75</v>
      </c>
      <c r="Y12" s="82" t="s">
        <v>362</v>
      </c>
      <c r="Z12" s="82" t="s">
        <v>363</v>
      </c>
      <c r="AA12" s="82" t="s">
        <v>364</v>
      </c>
      <c r="AB12" s="82" t="s">
        <v>365</v>
      </c>
      <c r="AC12" s="82" t="s">
        <v>366</v>
      </c>
      <c r="AD12" s="82" t="s">
        <v>367</v>
      </c>
      <c r="AE12" s="82" t="s">
        <v>368</v>
      </c>
    </row>
    <row r="13" spans="1:31">
      <c r="J13" s="82" t="s">
        <v>369</v>
      </c>
      <c r="K13" s="82" t="s">
        <v>370</v>
      </c>
      <c r="L13" s="82" t="s">
        <v>371</v>
      </c>
      <c r="M13" s="82" t="s">
        <v>372</v>
      </c>
      <c r="N13" s="82" t="s">
        <v>373</v>
      </c>
      <c r="O13" s="82" t="s">
        <v>374</v>
      </c>
      <c r="P13" s="82" t="s">
        <v>375</v>
      </c>
      <c r="Q13" s="82" t="s">
        <v>376</v>
      </c>
      <c r="R13" s="82" t="s">
        <v>377</v>
      </c>
      <c r="S13" s="82" t="s">
        <v>378</v>
      </c>
      <c r="T13" s="82" t="s">
        <v>379</v>
      </c>
      <c r="U13" s="82" t="s">
        <v>380</v>
      </c>
      <c r="V13" s="82" t="s">
        <v>381</v>
      </c>
      <c r="W13" s="82" t="s">
        <v>382</v>
      </c>
      <c r="X13" s="82" t="s">
        <v>383</v>
      </c>
      <c r="Y13" s="82" t="s">
        <v>384</v>
      </c>
      <c r="Z13" s="82" t="s">
        <v>385</v>
      </c>
      <c r="AA13" s="82" t="s">
        <v>386</v>
      </c>
      <c r="AB13" s="82" t="s">
        <v>387</v>
      </c>
      <c r="AC13" s="82" t="s">
        <v>388</v>
      </c>
      <c r="AD13" s="82" t="s">
        <v>389</v>
      </c>
      <c r="AE13" s="82" t="s">
        <v>390</v>
      </c>
    </row>
    <row r="14" spans="1:31">
      <c r="J14" s="82" t="s">
        <v>391</v>
      </c>
      <c r="K14" s="82" t="s">
        <v>392</v>
      </c>
      <c r="L14" s="82" t="s">
        <v>393</v>
      </c>
      <c r="M14" s="82" t="s">
        <v>393</v>
      </c>
      <c r="N14" s="82" t="s">
        <v>393</v>
      </c>
      <c r="O14" s="82" t="s">
        <v>393</v>
      </c>
      <c r="P14" s="82" t="s">
        <v>393</v>
      </c>
      <c r="Q14" s="82" t="s">
        <v>393</v>
      </c>
      <c r="R14" s="82" t="s">
        <v>393</v>
      </c>
      <c r="S14" s="82" t="s">
        <v>393</v>
      </c>
      <c r="T14" s="82" t="s">
        <v>393</v>
      </c>
      <c r="U14" s="82" t="s">
        <v>393</v>
      </c>
      <c r="V14" s="82" t="s">
        <v>393</v>
      </c>
      <c r="W14" s="82" t="s">
        <v>393</v>
      </c>
      <c r="X14" s="82" t="s">
        <v>393</v>
      </c>
      <c r="Y14" s="82" t="s">
        <v>393</v>
      </c>
      <c r="Z14" s="82" t="s">
        <v>393</v>
      </c>
      <c r="AA14" s="82" t="s">
        <v>392</v>
      </c>
      <c r="AB14" s="82" t="s">
        <v>393</v>
      </c>
      <c r="AC14" s="82" t="s">
        <v>393</v>
      </c>
      <c r="AD14" s="82" t="s">
        <v>393</v>
      </c>
      <c r="AE14" s="82" t="s">
        <v>393</v>
      </c>
    </row>
    <row r="15" spans="1:31">
      <c r="A15" s="77"/>
      <c r="B15" s="77"/>
      <c r="C15" s="77"/>
      <c r="D15" s="77"/>
      <c r="E15" s="77"/>
      <c r="F15" s="77"/>
      <c r="G15" s="77"/>
      <c r="H15" s="77"/>
      <c r="I15" s="77"/>
      <c r="J15" s="65">
        <v>1</v>
      </c>
      <c r="K15" s="108">
        <v>46011</v>
      </c>
      <c r="L15" s="65">
        <v>3</v>
      </c>
      <c r="M15" s="65" t="s">
        <v>901</v>
      </c>
      <c r="N15" s="65">
        <v>2</v>
      </c>
      <c r="O15" s="65" t="s">
        <v>904</v>
      </c>
      <c r="P15" s="65" t="s">
        <v>668</v>
      </c>
      <c r="Q15" s="65" t="s">
        <v>962</v>
      </c>
      <c r="R15" s="65">
        <v>2</v>
      </c>
      <c r="S15" s="65" t="s">
        <v>916</v>
      </c>
      <c r="T15" s="65">
        <v>5</v>
      </c>
      <c r="U15" s="65" t="s">
        <v>923</v>
      </c>
      <c r="V15" s="65">
        <v>10</v>
      </c>
      <c r="W15" s="65" t="s">
        <v>1003</v>
      </c>
      <c r="X15" s="65" t="s">
        <v>667</v>
      </c>
      <c r="Y15" s="109" t="s">
        <v>793</v>
      </c>
      <c r="Z15" s="65" t="s">
        <v>989</v>
      </c>
      <c r="AA15" s="109">
        <v>46021.416666666664</v>
      </c>
      <c r="AB15" s="65" t="s">
        <v>786</v>
      </c>
      <c r="AC15" s="65" t="s">
        <v>676</v>
      </c>
      <c r="AD15" s="65" t="s">
        <v>996</v>
      </c>
      <c r="AE15" s="108">
        <v>46011</v>
      </c>
    </row>
    <row r="16" spans="1:31">
      <c r="A16" s="77"/>
      <c r="B16" s="77"/>
      <c r="C16" s="77"/>
      <c r="D16" s="77"/>
      <c r="E16" s="77"/>
      <c r="F16" s="77"/>
      <c r="G16" s="77"/>
      <c r="H16" s="77"/>
      <c r="I16" s="77"/>
    </row>
    <row r="19" spans="1:31">
      <c r="D19">
        <v>1</v>
      </c>
      <c r="E19">
        <v>2</v>
      </c>
      <c r="F19" t="s">
        <v>136</v>
      </c>
      <c r="G19" t="s">
        <v>138</v>
      </c>
      <c r="H19" t="s">
        <v>344</v>
      </c>
      <c r="I19" t="s">
        <v>345</v>
      </c>
    </row>
    <row r="20" spans="1:31">
      <c r="J20" s="82" t="s">
        <v>349</v>
      </c>
      <c r="K20" s="82" t="s">
        <v>350</v>
      </c>
      <c r="L20" s="82" t="s">
        <v>351</v>
      </c>
      <c r="M20" s="82" t="s">
        <v>352</v>
      </c>
      <c r="N20" s="82" t="s">
        <v>353</v>
      </c>
      <c r="O20" s="82" t="s">
        <v>354</v>
      </c>
      <c r="P20" s="82" t="s">
        <v>355</v>
      </c>
      <c r="Q20" s="82" t="s">
        <v>356</v>
      </c>
      <c r="R20" s="82" t="s">
        <v>357</v>
      </c>
      <c r="S20" s="82" t="s">
        <v>358</v>
      </c>
      <c r="T20" s="82" t="s">
        <v>359</v>
      </c>
      <c r="U20" s="82" t="s">
        <v>360</v>
      </c>
      <c r="V20" s="82" t="s">
        <v>361</v>
      </c>
      <c r="W20" s="82" t="s">
        <v>75</v>
      </c>
      <c r="X20" s="82" t="s">
        <v>362</v>
      </c>
      <c r="Y20" s="82" t="s">
        <v>326</v>
      </c>
    </row>
    <row r="21" spans="1:31">
      <c r="J21" s="82" t="s">
        <v>370</v>
      </c>
      <c r="K21" s="82" t="s">
        <v>371</v>
      </c>
      <c r="L21" s="82" t="s">
        <v>372</v>
      </c>
      <c r="M21" s="82" t="s">
        <v>373</v>
      </c>
      <c r="N21" s="82" t="s">
        <v>374</v>
      </c>
      <c r="O21" s="82" t="s">
        <v>375</v>
      </c>
      <c r="P21" s="82" t="s">
        <v>376</v>
      </c>
      <c r="Q21" s="82" t="s">
        <v>377</v>
      </c>
      <c r="R21" s="82" t="s">
        <v>378</v>
      </c>
      <c r="S21" s="82" t="s">
        <v>379</v>
      </c>
      <c r="T21" s="82" t="s">
        <v>380</v>
      </c>
      <c r="U21" s="82" t="s">
        <v>381</v>
      </c>
      <c r="V21" s="82" t="s">
        <v>382</v>
      </c>
      <c r="W21" s="82" t="s">
        <v>383</v>
      </c>
      <c r="X21" s="82" t="s">
        <v>384</v>
      </c>
      <c r="Y21" s="82" t="s">
        <v>395</v>
      </c>
    </row>
    <row r="22" spans="1:31">
      <c r="I22" s="77"/>
      <c r="J22" s="82" t="s">
        <v>392</v>
      </c>
      <c r="K22" s="82" t="s">
        <v>393</v>
      </c>
      <c r="L22" s="82" t="s">
        <v>393</v>
      </c>
      <c r="M22" s="82" t="s">
        <v>393</v>
      </c>
      <c r="N22" s="82" t="s">
        <v>393</v>
      </c>
      <c r="O22" s="82" t="s">
        <v>393</v>
      </c>
      <c r="P22" s="82" t="s">
        <v>393</v>
      </c>
      <c r="Q22" s="82" t="s">
        <v>393</v>
      </c>
      <c r="R22" s="82" t="s">
        <v>393</v>
      </c>
      <c r="S22" s="82" t="s">
        <v>393</v>
      </c>
      <c r="T22" s="82" t="s">
        <v>393</v>
      </c>
      <c r="U22" s="82" t="s">
        <v>393</v>
      </c>
      <c r="V22" s="82" t="s">
        <v>393</v>
      </c>
      <c r="W22" s="82" t="s">
        <v>393</v>
      </c>
      <c r="X22" s="82" t="s">
        <v>393</v>
      </c>
      <c r="Y22" s="82" t="s">
        <v>393</v>
      </c>
    </row>
    <row r="23" spans="1:31">
      <c r="J23" s="107" t="s">
        <v>1013</v>
      </c>
      <c r="K23" s="65" t="s">
        <v>394</v>
      </c>
      <c r="L23" s="65" t="s">
        <v>394</v>
      </c>
      <c r="M23" s="65" t="s">
        <v>394</v>
      </c>
      <c r="N23" s="65" t="s">
        <v>394</v>
      </c>
      <c r="O23" s="65" t="s">
        <v>394</v>
      </c>
      <c r="P23" s="65" t="s">
        <v>394</v>
      </c>
      <c r="Q23" s="65" t="s">
        <v>394</v>
      </c>
      <c r="R23" s="65" t="s">
        <v>394</v>
      </c>
      <c r="S23" s="65" t="s">
        <v>394</v>
      </c>
      <c r="T23" s="65" t="s">
        <v>394</v>
      </c>
      <c r="U23" s="65" t="s">
        <v>394</v>
      </c>
      <c r="V23" s="65" t="s">
        <v>394</v>
      </c>
      <c r="W23" s="65" t="s">
        <v>394</v>
      </c>
      <c r="X23" s="65" t="s">
        <v>394</v>
      </c>
      <c r="Y23" s="90">
        <v>3</v>
      </c>
    </row>
    <row r="24" spans="1:31">
      <c r="A24" s="77"/>
      <c r="B24" s="77"/>
      <c r="C24" s="77"/>
      <c r="D24" s="77"/>
      <c r="E24" s="77"/>
      <c r="F24" s="77"/>
      <c r="G24" s="77"/>
      <c r="H24" s="77"/>
      <c r="I24" s="77"/>
    </row>
    <row r="25" spans="1:31">
      <c r="A25" s="77"/>
      <c r="B25" s="77"/>
      <c r="C25" s="77"/>
      <c r="D25" s="77"/>
      <c r="E25" s="77"/>
      <c r="F25" s="77"/>
      <c r="G25" s="77"/>
      <c r="H25" s="77"/>
      <c r="I25" s="77"/>
    </row>
    <row r="27" spans="1:31">
      <c r="D27">
        <v>1</v>
      </c>
      <c r="E27">
        <v>2</v>
      </c>
      <c r="F27" t="s">
        <v>137</v>
      </c>
      <c r="G27" t="s">
        <v>138</v>
      </c>
      <c r="H27" t="s">
        <v>346</v>
      </c>
      <c r="I27" t="s">
        <v>347</v>
      </c>
    </row>
    <row r="28" spans="1:31">
      <c r="J28" s="82" t="s">
        <v>348</v>
      </c>
      <c r="K28" s="82" t="s">
        <v>349</v>
      </c>
      <c r="L28" s="82" t="s">
        <v>350</v>
      </c>
      <c r="M28" s="82" t="s">
        <v>351</v>
      </c>
      <c r="N28" s="82" t="s">
        <v>352</v>
      </c>
      <c r="O28" s="82" t="s">
        <v>353</v>
      </c>
      <c r="P28" s="82" t="s">
        <v>354</v>
      </c>
      <c r="Q28" s="82" t="s">
        <v>355</v>
      </c>
      <c r="R28" s="82" t="s">
        <v>356</v>
      </c>
      <c r="S28" s="82" t="s">
        <v>357</v>
      </c>
      <c r="T28" s="82" t="s">
        <v>358</v>
      </c>
      <c r="U28" s="82" t="s">
        <v>359</v>
      </c>
      <c r="V28" s="82" t="s">
        <v>360</v>
      </c>
      <c r="W28" s="82" t="s">
        <v>361</v>
      </c>
      <c r="X28" s="82" t="s">
        <v>75</v>
      </c>
      <c r="Y28" s="82" t="s">
        <v>362</v>
      </c>
      <c r="Z28" s="82" t="s">
        <v>363</v>
      </c>
      <c r="AA28" s="82" t="s">
        <v>364</v>
      </c>
      <c r="AB28" s="82" t="s">
        <v>365</v>
      </c>
      <c r="AC28" s="82" t="s">
        <v>366</v>
      </c>
      <c r="AD28" s="82" t="s">
        <v>367</v>
      </c>
      <c r="AE28" s="82" t="s">
        <v>368</v>
      </c>
    </row>
    <row r="29" spans="1:31">
      <c r="J29" s="82" t="s">
        <v>369</v>
      </c>
      <c r="K29" s="82" t="s">
        <v>370</v>
      </c>
      <c r="L29" s="82" t="s">
        <v>371</v>
      </c>
      <c r="M29" s="82" t="s">
        <v>372</v>
      </c>
      <c r="N29" s="82" t="s">
        <v>373</v>
      </c>
      <c r="O29" s="82" t="s">
        <v>374</v>
      </c>
      <c r="P29" s="82" t="s">
        <v>375</v>
      </c>
      <c r="Q29" s="82" t="s">
        <v>376</v>
      </c>
      <c r="R29" s="82" t="s">
        <v>377</v>
      </c>
      <c r="S29" s="82" t="s">
        <v>378</v>
      </c>
      <c r="T29" s="82" t="s">
        <v>379</v>
      </c>
      <c r="U29" s="82" t="s">
        <v>380</v>
      </c>
      <c r="V29" s="82" t="s">
        <v>381</v>
      </c>
      <c r="W29" s="82" t="s">
        <v>382</v>
      </c>
      <c r="X29" s="82" t="s">
        <v>383</v>
      </c>
      <c r="Y29" s="82" t="s">
        <v>384</v>
      </c>
      <c r="Z29" s="82" t="s">
        <v>385</v>
      </c>
      <c r="AA29" s="82" t="s">
        <v>386</v>
      </c>
      <c r="AB29" s="82" t="s">
        <v>387</v>
      </c>
      <c r="AC29" s="82" t="s">
        <v>388</v>
      </c>
      <c r="AD29" s="82" t="s">
        <v>389</v>
      </c>
      <c r="AE29" s="82" t="s">
        <v>390</v>
      </c>
    </row>
    <row r="30" spans="1:31">
      <c r="J30" s="82" t="s">
        <v>391</v>
      </c>
      <c r="K30" s="82" t="s">
        <v>392</v>
      </c>
      <c r="L30" s="82" t="s">
        <v>393</v>
      </c>
      <c r="M30" s="82" t="s">
        <v>393</v>
      </c>
      <c r="N30" s="82" t="s">
        <v>393</v>
      </c>
      <c r="O30" s="82" t="s">
        <v>393</v>
      </c>
      <c r="P30" s="82" t="s">
        <v>393</v>
      </c>
      <c r="Q30" s="82" t="s">
        <v>393</v>
      </c>
      <c r="R30" s="82" t="s">
        <v>393</v>
      </c>
      <c r="S30" s="82" t="s">
        <v>393</v>
      </c>
      <c r="T30" s="82" t="s">
        <v>393</v>
      </c>
      <c r="U30" s="82" t="s">
        <v>393</v>
      </c>
      <c r="V30" s="82" t="s">
        <v>393</v>
      </c>
      <c r="W30" s="82" t="s">
        <v>393</v>
      </c>
      <c r="X30" s="82" t="s">
        <v>393</v>
      </c>
      <c r="Y30" s="82" t="s">
        <v>393</v>
      </c>
      <c r="Z30" s="82" t="s">
        <v>393</v>
      </c>
      <c r="AA30" s="82" t="s">
        <v>392</v>
      </c>
      <c r="AB30" s="82" t="s">
        <v>393</v>
      </c>
      <c r="AC30" s="82" t="s">
        <v>393</v>
      </c>
      <c r="AD30" s="82" t="s">
        <v>393</v>
      </c>
      <c r="AE30" s="82" t="s">
        <v>393</v>
      </c>
    </row>
    <row r="31" spans="1:31">
      <c r="J31" s="65">
        <v>1</v>
      </c>
      <c r="K31" s="108">
        <v>45992</v>
      </c>
      <c r="L31" s="65">
        <v>3</v>
      </c>
      <c r="M31" s="65" t="s">
        <v>901</v>
      </c>
      <c r="N31" s="65">
        <v>2</v>
      </c>
      <c r="O31" s="65" t="s">
        <v>904</v>
      </c>
      <c r="P31" s="65" t="s">
        <v>668</v>
      </c>
      <c r="Q31" s="65" t="s">
        <v>962</v>
      </c>
      <c r="R31" s="65">
        <v>2</v>
      </c>
      <c r="S31" s="65" t="s">
        <v>916</v>
      </c>
      <c r="T31" s="65">
        <v>5</v>
      </c>
      <c r="U31" s="65" t="s">
        <v>923</v>
      </c>
      <c r="V31" s="65">
        <v>10</v>
      </c>
      <c r="W31" s="65" t="s">
        <v>1003</v>
      </c>
      <c r="X31" s="65" t="s">
        <v>667</v>
      </c>
      <c r="Y31" s="65" t="s">
        <v>793</v>
      </c>
      <c r="Z31" s="65" t="s">
        <v>989</v>
      </c>
      <c r="AA31" s="109">
        <v>46010.416666666664</v>
      </c>
      <c r="AB31" s="65" t="s">
        <v>786</v>
      </c>
      <c r="AC31" s="65" t="s">
        <v>676</v>
      </c>
      <c r="AD31" s="65" t="s">
        <v>996</v>
      </c>
      <c r="AE31" s="108">
        <v>45992</v>
      </c>
    </row>
    <row r="35" spans="4:31">
      <c r="D35">
        <v>1</v>
      </c>
      <c r="E35">
        <v>3</v>
      </c>
      <c r="F35" t="s">
        <v>136</v>
      </c>
      <c r="G35" t="s">
        <v>138</v>
      </c>
      <c r="H35" t="s">
        <v>344</v>
      </c>
      <c r="I35" t="s">
        <v>345</v>
      </c>
    </row>
    <row r="36" spans="4:31">
      <c r="J36" s="82" t="s">
        <v>349</v>
      </c>
      <c r="K36" s="82" t="s">
        <v>350</v>
      </c>
      <c r="L36" s="82" t="s">
        <v>351</v>
      </c>
      <c r="M36" s="82" t="s">
        <v>352</v>
      </c>
      <c r="N36" s="82" t="s">
        <v>353</v>
      </c>
      <c r="O36" s="82" t="s">
        <v>354</v>
      </c>
      <c r="P36" s="82" t="s">
        <v>355</v>
      </c>
      <c r="Q36" s="82" t="s">
        <v>356</v>
      </c>
      <c r="R36" s="82" t="s">
        <v>357</v>
      </c>
      <c r="S36" s="82" t="s">
        <v>358</v>
      </c>
      <c r="T36" s="82" t="s">
        <v>359</v>
      </c>
      <c r="U36" s="82" t="s">
        <v>360</v>
      </c>
      <c r="V36" s="82" t="s">
        <v>361</v>
      </c>
      <c r="W36" s="82" t="s">
        <v>75</v>
      </c>
      <c r="X36" s="82" t="s">
        <v>362</v>
      </c>
      <c r="Y36" s="82" t="s">
        <v>326</v>
      </c>
    </row>
    <row r="37" spans="4:31">
      <c r="J37" s="82" t="s">
        <v>370</v>
      </c>
      <c r="K37" s="82" t="s">
        <v>371</v>
      </c>
      <c r="L37" s="82" t="s">
        <v>372</v>
      </c>
      <c r="M37" s="82" t="s">
        <v>373</v>
      </c>
      <c r="N37" s="82" t="s">
        <v>374</v>
      </c>
      <c r="O37" s="82" t="s">
        <v>375</v>
      </c>
      <c r="P37" s="82" t="s">
        <v>376</v>
      </c>
      <c r="Q37" s="82" t="s">
        <v>377</v>
      </c>
      <c r="R37" s="82" t="s">
        <v>378</v>
      </c>
      <c r="S37" s="82" t="s">
        <v>379</v>
      </c>
      <c r="T37" s="82" t="s">
        <v>380</v>
      </c>
      <c r="U37" s="82" t="s">
        <v>381</v>
      </c>
      <c r="V37" s="82" t="s">
        <v>382</v>
      </c>
      <c r="W37" s="82" t="s">
        <v>383</v>
      </c>
      <c r="X37" s="82" t="s">
        <v>384</v>
      </c>
      <c r="Y37" s="82" t="s">
        <v>395</v>
      </c>
    </row>
    <row r="38" spans="4:31">
      <c r="I38" s="77"/>
      <c r="J38" s="82" t="s">
        <v>392</v>
      </c>
      <c r="K38" s="82" t="s">
        <v>393</v>
      </c>
      <c r="L38" s="82" t="s">
        <v>393</v>
      </c>
      <c r="M38" s="82" t="s">
        <v>393</v>
      </c>
      <c r="N38" s="82" t="s">
        <v>393</v>
      </c>
      <c r="O38" s="82" t="s">
        <v>393</v>
      </c>
      <c r="P38" s="82" t="s">
        <v>393</v>
      </c>
      <c r="Q38" s="82" t="s">
        <v>393</v>
      </c>
      <c r="R38" s="82" t="s">
        <v>393</v>
      </c>
      <c r="S38" s="82" t="s">
        <v>393</v>
      </c>
      <c r="T38" s="82" t="s">
        <v>393</v>
      </c>
      <c r="U38" s="82" t="s">
        <v>393</v>
      </c>
      <c r="V38" s="82" t="s">
        <v>393</v>
      </c>
      <c r="W38" s="82" t="s">
        <v>393</v>
      </c>
      <c r="X38" s="82" t="s">
        <v>393</v>
      </c>
      <c r="Y38" s="82" t="s">
        <v>393</v>
      </c>
    </row>
    <row r="39" spans="4:31">
      <c r="J39" s="107" t="s">
        <v>1014</v>
      </c>
      <c r="K39" s="65" t="s">
        <v>394</v>
      </c>
      <c r="L39" s="65" t="s">
        <v>394</v>
      </c>
      <c r="M39" s="65" t="s">
        <v>394</v>
      </c>
      <c r="N39" s="65" t="s">
        <v>394</v>
      </c>
      <c r="O39" s="65" t="s">
        <v>394</v>
      </c>
      <c r="P39" s="65" t="s">
        <v>394</v>
      </c>
      <c r="Q39" s="65" t="s">
        <v>394</v>
      </c>
      <c r="R39" s="65" t="s">
        <v>394</v>
      </c>
      <c r="S39" s="65" t="s">
        <v>394</v>
      </c>
      <c r="T39" s="65" t="s">
        <v>394</v>
      </c>
      <c r="U39" s="65" t="s">
        <v>394</v>
      </c>
      <c r="V39" s="65" t="s">
        <v>394</v>
      </c>
      <c r="W39" s="65" t="s">
        <v>394</v>
      </c>
      <c r="X39" s="65" t="s">
        <v>394</v>
      </c>
      <c r="Y39" s="90">
        <v>3</v>
      </c>
    </row>
    <row r="43" spans="4:31">
      <c r="D43">
        <v>1</v>
      </c>
      <c r="E43">
        <v>3</v>
      </c>
      <c r="F43" t="s">
        <v>137</v>
      </c>
      <c r="G43" t="s">
        <v>138</v>
      </c>
      <c r="H43" t="s">
        <v>346</v>
      </c>
      <c r="I43" t="s">
        <v>347</v>
      </c>
    </row>
    <row r="44" spans="4:31">
      <c r="J44" s="82" t="s">
        <v>348</v>
      </c>
      <c r="K44" s="82" t="s">
        <v>349</v>
      </c>
      <c r="L44" s="82" t="s">
        <v>350</v>
      </c>
      <c r="M44" s="82" t="s">
        <v>351</v>
      </c>
      <c r="N44" s="82" t="s">
        <v>352</v>
      </c>
      <c r="O44" s="82" t="s">
        <v>353</v>
      </c>
      <c r="P44" s="82" t="s">
        <v>354</v>
      </c>
      <c r="Q44" s="82" t="s">
        <v>355</v>
      </c>
      <c r="R44" s="82" t="s">
        <v>356</v>
      </c>
      <c r="S44" s="82" t="s">
        <v>357</v>
      </c>
      <c r="T44" s="82" t="s">
        <v>358</v>
      </c>
      <c r="U44" s="82" t="s">
        <v>359</v>
      </c>
      <c r="V44" s="82" t="s">
        <v>360</v>
      </c>
      <c r="W44" s="82" t="s">
        <v>361</v>
      </c>
      <c r="X44" s="82" t="s">
        <v>75</v>
      </c>
      <c r="Y44" s="82" t="s">
        <v>362</v>
      </c>
      <c r="Z44" s="82" t="s">
        <v>363</v>
      </c>
      <c r="AA44" s="82" t="s">
        <v>364</v>
      </c>
      <c r="AB44" s="82" t="s">
        <v>365</v>
      </c>
      <c r="AC44" s="82" t="s">
        <v>366</v>
      </c>
      <c r="AD44" s="82" t="s">
        <v>367</v>
      </c>
      <c r="AE44" s="82" t="s">
        <v>368</v>
      </c>
    </row>
    <row r="45" spans="4:31">
      <c r="J45" s="82" t="s">
        <v>369</v>
      </c>
      <c r="K45" s="82" t="s">
        <v>370</v>
      </c>
      <c r="L45" s="82" t="s">
        <v>371</v>
      </c>
      <c r="M45" s="82" t="s">
        <v>372</v>
      </c>
      <c r="N45" s="82" t="s">
        <v>373</v>
      </c>
      <c r="O45" s="82" t="s">
        <v>374</v>
      </c>
      <c r="P45" s="82" t="s">
        <v>375</v>
      </c>
      <c r="Q45" s="82" t="s">
        <v>376</v>
      </c>
      <c r="R45" s="82" t="s">
        <v>377</v>
      </c>
      <c r="S45" s="82" t="s">
        <v>378</v>
      </c>
      <c r="T45" s="82" t="s">
        <v>379</v>
      </c>
      <c r="U45" s="82" t="s">
        <v>380</v>
      </c>
      <c r="V45" s="82" t="s">
        <v>381</v>
      </c>
      <c r="W45" s="82" t="s">
        <v>382</v>
      </c>
      <c r="X45" s="82" t="s">
        <v>383</v>
      </c>
      <c r="Y45" s="82" t="s">
        <v>384</v>
      </c>
      <c r="Z45" s="82" t="s">
        <v>385</v>
      </c>
      <c r="AA45" s="82" t="s">
        <v>386</v>
      </c>
      <c r="AB45" s="82" t="s">
        <v>387</v>
      </c>
      <c r="AC45" s="82" t="s">
        <v>388</v>
      </c>
      <c r="AD45" s="82" t="s">
        <v>389</v>
      </c>
      <c r="AE45" s="82" t="s">
        <v>390</v>
      </c>
    </row>
    <row r="46" spans="4:31">
      <c r="J46" s="82" t="s">
        <v>391</v>
      </c>
      <c r="K46" s="82" t="s">
        <v>392</v>
      </c>
      <c r="L46" s="82" t="s">
        <v>393</v>
      </c>
      <c r="M46" s="82" t="s">
        <v>393</v>
      </c>
      <c r="N46" s="82" t="s">
        <v>393</v>
      </c>
      <c r="O46" s="82" t="s">
        <v>393</v>
      </c>
      <c r="P46" s="82" t="s">
        <v>393</v>
      </c>
      <c r="Q46" s="82" t="s">
        <v>393</v>
      </c>
      <c r="R46" s="82" t="s">
        <v>393</v>
      </c>
      <c r="S46" s="82" t="s">
        <v>393</v>
      </c>
      <c r="T46" s="82" t="s">
        <v>393</v>
      </c>
      <c r="U46" s="82" t="s">
        <v>393</v>
      </c>
      <c r="V46" s="82" t="s">
        <v>393</v>
      </c>
      <c r="W46" s="82" t="s">
        <v>393</v>
      </c>
      <c r="X46" s="82" t="s">
        <v>393</v>
      </c>
      <c r="Y46" s="82" t="s">
        <v>393</v>
      </c>
      <c r="Z46" s="82" t="s">
        <v>393</v>
      </c>
      <c r="AA46" s="82" t="s">
        <v>392</v>
      </c>
      <c r="AB46" s="82" t="s">
        <v>393</v>
      </c>
      <c r="AC46" s="82" t="s">
        <v>393</v>
      </c>
      <c r="AD46" s="82" t="s">
        <v>393</v>
      </c>
      <c r="AE46" s="82" t="s">
        <v>393</v>
      </c>
    </row>
    <row r="47" spans="4:31">
      <c r="J47" s="65">
        <v>1</v>
      </c>
      <c r="K47" s="108">
        <v>46016</v>
      </c>
      <c r="L47" s="65">
        <v>3</v>
      </c>
      <c r="M47" s="65" t="s">
        <v>901</v>
      </c>
      <c r="N47" s="65">
        <v>2</v>
      </c>
      <c r="O47" s="65" t="s">
        <v>904</v>
      </c>
      <c r="P47" s="65" t="s">
        <v>668</v>
      </c>
      <c r="Q47" s="65" t="s">
        <v>962</v>
      </c>
      <c r="R47" s="65">
        <v>2</v>
      </c>
      <c r="S47" s="65" t="s">
        <v>916</v>
      </c>
      <c r="T47" s="65">
        <v>5</v>
      </c>
      <c r="U47" s="65" t="s">
        <v>923</v>
      </c>
      <c r="V47" s="65">
        <v>10</v>
      </c>
      <c r="W47" s="65" t="s">
        <v>1003</v>
      </c>
      <c r="X47" s="65" t="s">
        <v>667</v>
      </c>
      <c r="Y47" s="65" t="s">
        <v>793</v>
      </c>
      <c r="Z47" s="65" t="s">
        <v>989</v>
      </c>
      <c r="AA47" s="109">
        <v>46010.416666666664</v>
      </c>
      <c r="AB47" s="65" t="s">
        <v>786</v>
      </c>
      <c r="AC47" s="65" t="s">
        <v>676</v>
      </c>
      <c r="AD47" s="65" t="s">
        <v>996</v>
      </c>
      <c r="AE47" s="108">
        <v>46016</v>
      </c>
    </row>
    <row r="52" spans="4:31">
      <c r="D52">
        <v>1</v>
      </c>
      <c r="E52">
        <v>4</v>
      </c>
      <c r="F52" t="s">
        <v>136</v>
      </c>
      <c r="G52" t="s">
        <v>138</v>
      </c>
      <c r="H52" t="s">
        <v>344</v>
      </c>
      <c r="I52" t="s">
        <v>345</v>
      </c>
    </row>
    <row r="53" spans="4:31">
      <c r="J53" s="82" t="s">
        <v>349</v>
      </c>
      <c r="K53" s="82" t="s">
        <v>350</v>
      </c>
      <c r="L53" s="82" t="s">
        <v>351</v>
      </c>
      <c r="M53" s="82" t="s">
        <v>352</v>
      </c>
      <c r="N53" s="82" t="s">
        <v>353</v>
      </c>
      <c r="O53" s="82" t="s">
        <v>354</v>
      </c>
      <c r="P53" s="82" t="s">
        <v>355</v>
      </c>
      <c r="Q53" s="82" t="s">
        <v>356</v>
      </c>
      <c r="R53" s="82" t="s">
        <v>357</v>
      </c>
      <c r="S53" s="82" t="s">
        <v>358</v>
      </c>
      <c r="T53" s="82" t="s">
        <v>359</v>
      </c>
      <c r="U53" s="82" t="s">
        <v>360</v>
      </c>
      <c r="V53" s="82" t="s">
        <v>361</v>
      </c>
      <c r="W53" s="82" t="s">
        <v>75</v>
      </c>
      <c r="X53" s="82" t="s">
        <v>362</v>
      </c>
      <c r="Y53" s="82" t="s">
        <v>326</v>
      </c>
    </row>
    <row r="54" spans="4:31">
      <c r="J54" s="82" t="s">
        <v>370</v>
      </c>
      <c r="K54" s="82" t="s">
        <v>371</v>
      </c>
      <c r="L54" s="82" t="s">
        <v>372</v>
      </c>
      <c r="M54" s="82" t="s">
        <v>373</v>
      </c>
      <c r="N54" s="82" t="s">
        <v>374</v>
      </c>
      <c r="O54" s="82" t="s">
        <v>375</v>
      </c>
      <c r="P54" s="82" t="s">
        <v>376</v>
      </c>
      <c r="Q54" s="82" t="s">
        <v>377</v>
      </c>
      <c r="R54" s="82" t="s">
        <v>378</v>
      </c>
      <c r="S54" s="82" t="s">
        <v>379</v>
      </c>
      <c r="T54" s="82" t="s">
        <v>380</v>
      </c>
      <c r="U54" s="82" t="s">
        <v>381</v>
      </c>
      <c r="V54" s="82" t="s">
        <v>382</v>
      </c>
      <c r="W54" s="82" t="s">
        <v>383</v>
      </c>
      <c r="X54" s="82" t="s">
        <v>384</v>
      </c>
      <c r="Y54" s="82" t="s">
        <v>395</v>
      </c>
    </row>
    <row r="55" spans="4:31">
      <c r="I55" s="77"/>
      <c r="J55" s="82" t="s">
        <v>392</v>
      </c>
      <c r="K55" s="82" t="s">
        <v>393</v>
      </c>
      <c r="L55" s="82" t="s">
        <v>393</v>
      </c>
      <c r="M55" s="82" t="s">
        <v>393</v>
      </c>
      <c r="N55" s="82" t="s">
        <v>393</v>
      </c>
      <c r="O55" s="82" t="s">
        <v>393</v>
      </c>
      <c r="P55" s="82" t="s">
        <v>393</v>
      </c>
      <c r="Q55" s="82" t="s">
        <v>393</v>
      </c>
      <c r="R55" s="82" t="s">
        <v>393</v>
      </c>
      <c r="S55" s="82" t="s">
        <v>393</v>
      </c>
      <c r="T55" s="82" t="s">
        <v>393</v>
      </c>
      <c r="U55" s="82" t="s">
        <v>393</v>
      </c>
      <c r="V55" s="82" t="s">
        <v>393</v>
      </c>
      <c r="W55" s="82" t="s">
        <v>393</v>
      </c>
      <c r="X55" s="82" t="s">
        <v>393</v>
      </c>
      <c r="Y55" s="82" t="s">
        <v>393</v>
      </c>
    </row>
    <row r="56" spans="4:31">
      <c r="J56" s="107" t="s">
        <v>1015</v>
      </c>
      <c r="K56" s="65" t="s">
        <v>394</v>
      </c>
      <c r="L56" s="65" t="s">
        <v>394</v>
      </c>
      <c r="M56" s="65" t="s">
        <v>394</v>
      </c>
      <c r="N56" s="65" t="s">
        <v>394</v>
      </c>
      <c r="O56" s="65" t="s">
        <v>394</v>
      </c>
      <c r="P56" s="65" t="s">
        <v>394</v>
      </c>
      <c r="Q56" s="65" t="s">
        <v>394</v>
      </c>
      <c r="R56" s="65" t="s">
        <v>394</v>
      </c>
      <c r="S56" s="65" t="s">
        <v>394</v>
      </c>
      <c r="T56" s="65" t="s">
        <v>394</v>
      </c>
      <c r="U56" s="65" t="s">
        <v>394</v>
      </c>
      <c r="V56" s="65" t="s">
        <v>394</v>
      </c>
      <c r="W56" s="65" t="s">
        <v>394</v>
      </c>
      <c r="X56" s="65" t="s">
        <v>394</v>
      </c>
      <c r="Y56" s="90">
        <v>3</v>
      </c>
    </row>
    <row r="60" spans="4:31">
      <c r="D60">
        <v>1</v>
      </c>
      <c r="E60">
        <v>4</v>
      </c>
      <c r="F60" t="s">
        <v>137</v>
      </c>
      <c r="G60" t="s">
        <v>138</v>
      </c>
      <c r="H60" t="s">
        <v>346</v>
      </c>
      <c r="I60" t="s">
        <v>347</v>
      </c>
    </row>
    <row r="61" spans="4:31">
      <c r="J61" s="82" t="s">
        <v>348</v>
      </c>
      <c r="K61" s="82" t="s">
        <v>349</v>
      </c>
      <c r="L61" s="82" t="s">
        <v>350</v>
      </c>
      <c r="M61" s="82" t="s">
        <v>351</v>
      </c>
      <c r="N61" s="82" t="s">
        <v>352</v>
      </c>
      <c r="O61" s="82" t="s">
        <v>353</v>
      </c>
      <c r="P61" s="82" t="s">
        <v>354</v>
      </c>
      <c r="Q61" s="82" t="s">
        <v>355</v>
      </c>
      <c r="R61" s="82" t="s">
        <v>356</v>
      </c>
      <c r="S61" s="82" t="s">
        <v>357</v>
      </c>
      <c r="T61" s="82" t="s">
        <v>358</v>
      </c>
      <c r="U61" s="82" t="s">
        <v>359</v>
      </c>
      <c r="V61" s="82" t="s">
        <v>360</v>
      </c>
      <c r="W61" s="82" t="s">
        <v>361</v>
      </c>
      <c r="X61" s="82" t="s">
        <v>75</v>
      </c>
      <c r="Y61" s="82" t="s">
        <v>362</v>
      </c>
      <c r="Z61" s="82" t="s">
        <v>363</v>
      </c>
      <c r="AA61" s="82" t="s">
        <v>364</v>
      </c>
      <c r="AB61" s="82" t="s">
        <v>365</v>
      </c>
      <c r="AC61" s="82" t="s">
        <v>366</v>
      </c>
      <c r="AD61" s="82" t="s">
        <v>367</v>
      </c>
      <c r="AE61" s="82" t="s">
        <v>368</v>
      </c>
    </row>
    <row r="62" spans="4:31">
      <c r="J62" s="82" t="s">
        <v>369</v>
      </c>
      <c r="K62" s="82" t="s">
        <v>370</v>
      </c>
      <c r="L62" s="82" t="s">
        <v>371</v>
      </c>
      <c r="M62" s="82" t="s">
        <v>372</v>
      </c>
      <c r="N62" s="82" t="s">
        <v>373</v>
      </c>
      <c r="O62" s="82" t="s">
        <v>374</v>
      </c>
      <c r="P62" s="82" t="s">
        <v>375</v>
      </c>
      <c r="Q62" s="82" t="s">
        <v>376</v>
      </c>
      <c r="R62" s="82" t="s">
        <v>377</v>
      </c>
      <c r="S62" s="82" t="s">
        <v>378</v>
      </c>
      <c r="T62" s="82" t="s">
        <v>379</v>
      </c>
      <c r="U62" s="82" t="s">
        <v>380</v>
      </c>
      <c r="V62" s="82" t="s">
        <v>381</v>
      </c>
      <c r="W62" s="82" t="s">
        <v>382</v>
      </c>
      <c r="X62" s="82" t="s">
        <v>383</v>
      </c>
      <c r="Y62" s="82" t="s">
        <v>384</v>
      </c>
      <c r="Z62" s="82" t="s">
        <v>385</v>
      </c>
      <c r="AA62" s="82" t="s">
        <v>386</v>
      </c>
      <c r="AB62" s="82" t="s">
        <v>387</v>
      </c>
      <c r="AC62" s="82" t="s">
        <v>388</v>
      </c>
      <c r="AD62" s="82" t="s">
        <v>389</v>
      </c>
      <c r="AE62" s="82" t="s">
        <v>390</v>
      </c>
    </row>
    <row r="63" spans="4:31">
      <c r="J63" s="82" t="s">
        <v>391</v>
      </c>
      <c r="K63" s="82" t="s">
        <v>392</v>
      </c>
      <c r="L63" s="82" t="s">
        <v>393</v>
      </c>
      <c r="M63" s="82" t="s">
        <v>393</v>
      </c>
      <c r="N63" s="82" t="s">
        <v>393</v>
      </c>
      <c r="O63" s="82" t="s">
        <v>393</v>
      </c>
      <c r="P63" s="82" t="s">
        <v>393</v>
      </c>
      <c r="Q63" s="82" t="s">
        <v>393</v>
      </c>
      <c r="R63" s="82" t="s">
        <v>393</v>
      </c>
      <c r="S63" s="82" t="s">
        <v>393</v>
      </c>
      <c r="T63" s="82" t="s">
        <v>393</v>
      </c>
      <c r="U63" s="82" t="s">
        <v>393</v>
      </c>
      <c r="V63" s="82" t="s">
        <v>393</v>
      </c>
      <c r="W63" s="82" t="s">
        <v>393</v>
      </c>
      <c r="X63" s="82" t="s">
        <v>393</v>
      </c>
      <c r="Y63" s="82" t="s">
        <v>393</v>
      </c>
      <c r="Z63" s="82" t="s">
        <v>393</v>
      </c>
      <c r="AA63" s="82" t="s">
        <v>392</v>
      </c>
      <c r="AB63" s="82" t="s">
        <v>393</v>
      </c>
      <c r="AC63" s="82" t="s">
        <v>393</v>
      </c>
      <c r="AD63" s="82" t="s">
        <v>393</v>
      </c>
      <c r="AE63" s="82" t="s">
        <v>393</v>
      </c>
    </row>
    <row r="64" spans="4:31">
      <c r="J64" s="65">
        <v>1</v>
      </c>
      <c r="K64" s="108">
        <v>45991</v>
      </c>
      <c r="L64" s="65">
        <v>3</v>
      </c>
      <c r="M64" s="65" t="s">
        <v>681</v>
      </c>
      <c r="N64" s="65">
        <v>2</v>
      </c>
      <c r="O64" s="65" t="s">
        <v>681</v>
      </c>
      <c r="P64" s="65" t="s">
        <v>668</v>
      </c>
      <c r="Q64" s="65" t="s">
        <v>681</v>
      </c>
      <c r="R64" s="65">
        <v>2</v>
      </c>
      <c r="S64" s="65" t="s">
        <v>681</v>
      </c>
      <c r="T64" s="65">
        <v>5</v>
      </c>
      <c r="U64" s="65" t="s">
        <v>681</v>
      </c>
      <c r="V64" s="65">
        <v>10</v>
      </c>
      <c r="W64" s="65" t="s">
        <v>681</v>
      </c>
      <c r="X64" s="65" t="s">
        <v>667</v>
      </c>
      <c r="Y64" s="65" t="s">
        <v>681</v>
      </c>
      <c r="Z64" s="65" t="s">
        <v>681</v>
      </c>
      <c r="AA64" s="109">
        <v>46010.416666666664</v>
      </c>
      <c r="AB64" s="65" t="s">
        <v>681</v>
      </c>
      <c r="AC64" s="65" t="s">
        <v>681</v>
      </c>
      <c r="AD64" s="65" t="s">
        <v>681</v>
      </c>
      <c r="AE64" s="108">
        <v>45991</v>
      </c>
    </row>
    <row r="69" spans="4:31">
      <c r="D69">
        <v>1</v>
      </c>
      <c r="E69">
        <v>5</v>
      </c>
      <c r="F69" t="s">
        <v>136</v>
      </c>
      <c r="G69" t="s">
        <v>138</v>
      </c>
      <c r="H69" t="s">
        <v>344</v>
      </c>
      <c r="I69" t="s">
        <v>345</v>
      </c>
    </row>
    <row r="70" spans="4:31">
      <c r="J70" s="82" t="s">
        <v>349</v>
      </c>
      <c r="K70" s="82" t="s">
        <v>350</v>
      </c>
      <c r="L70" s="82" t="s">
        <v>351</v>
      </c>
      <c r="M70" s="82" t="s">
        <v>352</v>
      </c>
      <c r="N70" s="82" t="s">
        <v>353</v>
      </c>
      <c r="O70" s="82" t="s">
        <v>354</v>
      </c>
      <c r="P70" s="82" t="s">
        <v>355</v>
      </c>
      <c r="Q70" s="82" t="s">
        <v>356</v>
      </c>
      <c r="R70" s="82" t="s">
        <v>357</v>
      </c>
      <c r="S70" s="82" t="s">
        <v>358</v>
      </c>
      <c r="T70" s="82" t="s">
        <v>359</v>
      </c>
      <c r="U70" s="82" t="s">
        <v>360</v>
      </c>
      <c r="V70" s="82" t="s">
        <v>361</v>
      </c>
      <c r="W70" s="82" t="s">
        <v>75</v>
      </c>
      <c r="X70" s="82" t="s">
        <v>362</v>
      </c>
      <c r="Y70" s="82" t="s">
        <v>326</v>
      </c>
    </row>
    <row r="71" spans="4:31">
      <c r="J71" s="82" t="s">
        <v>370</v>
      </c>
      <c r="K71" s="82" t="s">
        <v>371</v>
      </c>
      <c r="L71" s="82" t="s">
        <v>372</v>
      </c>
      <c r="M71" s="82" t="s">
        <v>373</v>
      </c>
      <c r="N71" s="82" t="s">
        <v>374</v>
      </c>
      <c r="O71" s="82" t="s">
        <v>375</v>
      </c>
      <c r="P71" s="82" t="s">
        <v>376</v>
      </c>
      <c r="Q71" s="82" t="s">
        <v>377</v>
      </c>
      <c r="R71" s="82" t="s">
        <v>378</v>
      </c>
      <c r="S71" s="82" t="s">
        <v>379</v>
      </c>
      <c r="T71" s="82" t="s">
        <v>380</v>
      </c>
      <c r="U71" s="82" t="s">
        <v>381</v>
      </c>
      <c r="V71" s="82" t="s">
        <v>382</v>
      </c>
      <c r="W71" s="82" t="s">
        <v>383</v>
      </c>
      <c r="X71" s="82" t="s">
        <v>384</v>
      </c>
      <c r="Y71" s="82" t="s">
        <v>395</v>
      </c>
    </row>
    <row r="72" spans="4:31">
      <c r="I72" s="77"/>
      <c r="J72" s="82" t="s">
        <v>392</v>
      </c>
      <c r="K72" s="82" t="s">
        <v>393</v>
      </c>
      <c r="L72" s="82" t="s">
        <v>393</v>
      </c>
      <c r="M72" s="82" t="s">
        <v>393</v>
      </c>
      <c r="N72" s="82" t="s">
        <v>393</v>
      </c>
      <c r="O72" s="82" t="s">
        <v>393</v>
      </c>
      <c r="P72" s="82" t="s">
        <v>393</v>
      </c>
      <c r="Q72" s="82" t="s">
        <v>393</v>
      </c>
      <c r="R72" s="82" t="s">
        <v>393</v>
      </c>
      <c r="S72" s="82" t="s">
        <v>393</v>
      </c>
      <c r="T72" s="82" t="s">
        <v>393</v>
      </c>
      <c r="U72" s="82" t="s">
        <v>393</v>
      </c>
      <c r="V72" s="82" t="s">
        <v>393</v>
      </c>
      <c r="W72" s="82" t="s">
        <v>393</v>
      </c>
      <c r="X72" s="82" t="s">
        <v>393</v>
      </c>
      <c r="Y72" s="82" t="s">
        <v>393</v>
      </c>
    </row>
    <row r="73" spans="4:31">
      <c r="J73" s="107" t="s">
        <v>1016</v>
      </c>
      <c r="K73" s="65" t="s">
        <v>394</v>
      </c>
      <c r="L73" s="65" t="s">
        <v>394</v>
      </c>
      <c r="M73" s="65" t="s">
        <v>394</v>
      </c>
      <c r="N73" s="65" t="s">
        <v>394</v>
      </c>
      <c r="O73" s="65" t="s">
        <v>394</v>
      </c>
      <c r="P73" s="65" t="s">
        <v>394</v>
      </c>
      <c r="Q73" s="65" t="s">
        <v>394</v>
      </c>
      <c r="R73" s="65" t="s">
        <v>394</v>
      </c>
      <c r="S73" s="65" t="s">
        <v>394</v>
      </c>
      <c r="T73" s="65" t="s">
        <v>394</v>
      </c>
      <c r="U73" s="65" t="s">
        <v>394</v>
      </c>
      <c r="V73" s="65" t="s">
        <v>394</v>
      </c>
      <c r="W73" s="65" t="s">
        <v>394</v>
      </c>
      <c r="X73" s="65" t="s">
        <v>394</v>
      </c>
      <c r="Y73" s="90">
        <v>3</v>
      </c>
    </row>
    <row r="77" spans="4:31">
      <c r="D77">
        <v>1</v>
      </c>
      <c r="E77">
        <v>5</v>
      </c>
      <c r="F77" t="s">
        <v>137</v>
      </c>
      <c r="G77" t="s">
        <v>138</v>
      </c>
      <c r="H77" t="s">
        <v>346</v>
      </c>
      <c r="I77" t="s">
        <v>347</v>
      </c>
    </row>
    <row r="78" spans="4:31">
      <c r="J78" s="82" t="s">
        <v>348</v>
      </c>
      <c r="K78" s="82" t="s">
        <v>349</v>
      </c>
      <c r="L78" s="82" t="s">
        <v>350</v>
      </c>
      <c r="M78" s="82" t="s">
        <v>351</v>
      </c>
      <c r="N78" s="82" t="s">
        <v>352</v>
      </c>
      <c r="O78" s="82" t="s">
        <v>353</v>
      </c>
      <c r="P78" s="82" t="s">
        <v>354</v>
      </c>
      <c r="Q78" s="82" t="s">
        <v>355</v>
      </c>
      <c r="R78" s="82" t="s">
        <v>356</v>
      </c>
      <c r="S78" s="82" t="s">
        <v>357</v>
      </c>
      <c r="T78" s="82" t="s">
        <v>358</v>
      </c>
      <c r="U78" s="82" t="s">
        <v>359</v>
      </c>
      <c r="V78" s="82" t="s">
        <v>360</v>
      </c>
      <c r="W78" s="82" t="s">
        <v>361</v>
      </c>
      <c r="X78" s="82" t="s">
        <v>75</v>
      </c>
      <c r="Y78" s="82" t="s">
        <v>362</v>
      </c>
      <c r="Z78" s="82" t="s">
        <v>363</v>
      </c>
      <c r="AA78" s="82" t="s">
        <v>364</v>
      </c>
      <c r="AB78" s="82" t="s">
        <v>365</v>
      </c>
      <c r="AC78" s="82" t="s">
        <v>366</v>
      </c>
      <c r="AD78" s="82" t="s">
        <v>367</v>
      </c>
      <c r="AE78" s="82" t="s">
        <v>368</v>
      </c>
    </row>
    <row r="79" spans="4:31">
      <c r="J79" s="82" t="s">
        <v>369</v>
      </c>
      <c r="K79" s="82" t="s">
        <v>370</v>
      </c>
      <c r="L79" s="82" t="s">
        <v>371</v>
      </c>
      <c r="M79" s="82" t="s">
        <v>372</v>
      </c>
      <c r="N79" s="82" t="s">
        <v>373</v>
      </c>
      <c r="O79" s="82" t="s">
        <v>374</v>
      </c>
      <c r="P79" s="82" t="s">
        <v>375</v>
      </c>
      <c r="Q79" s="82" t="s">
        <v>376</v>
      </c>
      <c r="R79" s="82" t="s">
        <v>377</v>
      </c>
      <c r="S79" s="82" t="s">
        <v>378</v>
      </c>
      <c r="T79" s="82" t="s">
        <v>379</v>
      </c>
      <c r="U79" s="82" t="s">
        <v>380</v>
      </c>
      <c r="V79" s="82" t="s">
        <v>381</v>
      </c>
      <c r="W79" s="82" t="s">
        <v>382</v>
      </c>
      <c r="X79" s="82" t="s">
        <v>383</v>
      </c>
      <c r="Y79" s="82" t="s">
        <v>384</v>
      </c>
      <c r="Z79" s="82" t="s">
        <v>385</v>
      </c>
      <c r="AA79" s="82" t="s">
        <v>386</v>
      </c>
      <c r="AB79" s="82" t="s">
        <v>387</v>
      </c>
      <c r="AC79" s="82" t="s">
        <v>388</v>
      </c>
      <c r="AD79" s="82" t="s">
        <v>389</v>
      </c>
      <c r="AE79" s="82" t="s">
        <v>390</v>
      </c>
    </row>
    <row r="80" spans="4:31">
      <c r="J80" s="82" t="s">
        <v>391</v>
      </c>
      <c r="K80" s="82" t="s">
        <v>392</v>
      </c>
      <c r="L80" s="82" t="s">
        <v>393</v>
      </c>
      <c r="M80" s="82" t="s">
        <v>393</v>
      </c>
      <c r="N80" s="82" t="s">
        <v>393</v>
      </c>
      <c r="O80" s="82" t="s">
        <v>393</v>
      </c>
      <c r="P80" s="82" t="s">
        <v>393</v>
      </c>
      <c r="Q80" s="82" t="s">
        <v>393</v>
      </c>
      <c r="R80" s="82" t="s">
        <v>393</v>
      </c>
      <c r="S80" s="82" t="s">
        <v>393</v>
      </c>
      <c r="T80" s="82" t="s">
        <v>393</v>
      </c>
      <c r="U80" s="82" t="s">
        <v>393</v>
      </c>
      <c r="V80" s="82" t="s">
        <v>393</v>
      </c>
      <c r="W80" s="82" t="s">
        <v>393</v>
      </c>
      <c r="X80" s="82" t="s">
        <v>393</v>
      </c>
      <c r="Y80" s="82" t="s">
        <v>393</v>
      </c>
      <c r="Z80" s="82" t="s">
        <v>393</v>
      </c>
      <c r="AA80" s="82" t="s">
        <v>392</v>
      </c>
      <c r="AB80" s="82" t="s">
        <v>393</v>
      </c>
      <c r="AC80" s="82" t="s">
        <v>393</v>
      </c>
      <c r="AD80" s="82" t="s">
        <v>393</v>
      </c>
      <c r="AE80" s="82" t="s">
        <v>393</v>
      </c>
    </row>
    <row r="81" spans="4:31">
      <c r="J81" s="65">
        <v>1</v>
      </c>
      <c r="K81" s="108">
        <v>46017</v>
      </c>
      <c r="L81" s="65">
        <v>3</v>
      </c>
      <c r="M81" s="65" t="s">
        <v>910</v>
      </c>
      <c r="N81" s="65">
        <v>2</v>
      </c>
      <c r="O81" s="65" t="s">
        <v>907</v>
      </c>
      <c r="P81" s="65" t="s">
        <v>668</v>
      </c>
      <c r="Q81" s="65" t="s">
        <v>965</v>
      </c>
      <c r="R81" s="65">
        <v>2</v>
      </c>
      <c r="S81" s="65" t="s">
        <v>919</v>
      </c>
      <c r="T81" s="65">
        <v>5</v>
      </c>
      <c r="U81" s="65" t="s">
        <v>926</v>
      </c>
      <c r="V81" s="65">
        <v>10</v>
      </c>
      <c r="W81" s="65" t="s">
        <v>1006</v>
      </c>
      <c r="X81" s="65" t="s">
        <v>667</v>
      </c>
      <c r="Y81" s="65" t="s">
        <v>811</v>
      </c>
      <c r="Z81" s="65" t="s">
        <v>992</v>
      </c>
      <c r="AA81" s="109">
        <v>46010.416666666664</v>
      </c>
      <c r="AB81" s="65" t="s">
        <v>786</v>
      </c>
      <c r="AC81" s="65" t="s">
        <v>676</v>
      </c>
      <c r="AD81" s="65" t="s">
        <v>999</v>
      </c>
      <c r="AE81" s="108">
        <v>46017</v>
      </c>
    </row>
    <row r="88" spans="4:31">
      <c r="D88">
        <v>2</v>
      </c>
      <c r="E88">
        <v>1</v>
      </c>
      <c r="F88" t="s">
        <v>136</v>
      </c>
      <c r="G88" t="s">
        <v>138</v>
      </c>
      <c r="H88" t="s">
        <v>344</v>
      </c>
      <c r="I88" t="s">
        <v>345</v>
      </c>
    </row>
    <row r="89" spans="4:31">
      <c r="J89" s="82" t="s">
        <v>349</v>
      </c>
      <c r="K89" s="82" t="s">
        <v>350</v>
      </c>
      <c r="L89" s="82" t="s">
        <v>351</v>
      </c>
      <c r="M89" s="82" t="s">
        <v>352</v>
      </c>
      <c r="N89" s="82" t="s">
        <v>353</v>
      </c>
      <c r="O89" s="82" t="s">
        <v>354</v>
      </c>
      <c r="P89" s="82" t="s">
        <v>355</v>
      </c>
      <c r="Q89" s="82" t="s">
        <v>356</v>
      </c>
      <c r="R89" s="82" t="s">
        <v>357</v>
      </c>
      <c r="S89" s="82" t="s">
        <v>358</v>
      </c>
      <c r="T89" s="82" t="s">
        <v>359</v>
      </c>
      <c r="U89" s="82" t="s">
        <v>360</v>
      </c>
      <c r="V89" s="82" t="s">
        <v>361</v>
      </c>
      <c r="W89" s="82" t="s">
        <v>75</v>
      </c>
      <c r="X89" s="82" t="s">
        <v>362</v>
      </c>
      <c r="Y89" s="82" t="s">
        <v>326</v>
      </c>
    </row>
    <row r="90" spans="4:31">
      <c r="J90" s="82" t="s">
        <v>370</v>
      </c>
      <c r="K90" s="82" t="s">
        <v>371</v>
      </c>
      <c r="L90" s="82" t="s">
        <v>372</v>
      </c>
      <c r="M90" s="82" t="s">
        <v>373</v>
      </c>
      <c r="N90" s="82" t="s">
        <v>374</v>
      </c>
      <c r="O90" s="82" t="s">
        <v>375</v>
      </c>
      <c r="P90" s="82" t="s">
        <v>376</v>
      </c>
      <c r="Q90" s="82" t="s">
        <v>377</v>
      </c>
      <c r="R90" s="82" t="s">
        <v>378</v>
      </c>
      <c r="S90" s="82" t="s">
        <v>379</v>
      </c>
      <c r="T90" s="82" t="s">
        <v>380</v>
      </c>
      <c r="U90" s="82" t="s">
        <v>381</v>
      </c>
      <c r="V90" s="82" t="s">
        <v>382</v>
      </c>
      <c r="W90" s="82" t="s">
        <v>383</v>
      </c>
      <c r="X90" s="82" t="s">
        <v>384</v>
      </c>
      <c r="Y90" s="82" t="s">
        <v>395</v>
      </c>
    </row>
    <row r="91" spans="4:31">
      <c r="I91" s="77"/>
      <c r="J91" s="82" t="s">
        <v>392</v>
      </c>
      <c r="K91" s="82" t="s">
        <v>393</v>
      </c>
      <c r="L91" s="82" t="s">
        <v>393</v>
      </c>
      <c r="M91" s="82" t="s">
        <v>393</v>
      </c>
      <c r="N91" s="82" t="s">
        <v>393</v>
      </c>
      <c r="O91" s="82" t="s">
        <v>393</v>
      </c>
      <c r="P91" s="82" t="s">
        <v>393</v>
      </c>
      <c r="Q91" s="82" t="s">
        <v>393</v>
      </c>
      <c r="R91" s="82" t="s">
        <v>393</v>
      </c>
      <c r="S91" s="82" t="s">
        <v>393</v>
      </c>
      <c r="T91" s="82" t="s">
        <v>393</v>
      </c>
      <c r="U91" s="82" t="s">
        <v>393</v>
      </c>
      <c r="V91" s="82" t="s">
        <v>393</v>
      </c>
      <c r="W91" s="82" t="s">
        <v>393</v>
      </c>
      <c r="X91" s="82" t="s">
        <v>393</v>
      </c>
      <c r="Y91" s="82" t="s">
        <v>393</v>
      </c>
    </row>
    <row r="92" spans="4:31">
      <c r="J92" s="107" t="s">
        <v>1012</v>
      </c>
      <c r="K92" s="65" t="s">
        <v>394</v>
      </c>
      <c r="L92" s="65" t="s">
        <v>394</v>
      </c>
      <c r="M92" s="65" t="s">
        <v>394</v>
      </c>
      <c r="N92" s="65" t="s">
        <v>394</v>
      </c>
      <c r="O92" s="90" t="s">
        <v>1037</v>
      </c>
      <c r="P92" s="65" t="s">
        <v>394</v>
      </c>
      <c r="Q92" s="65" t="s">
        <v>394</v>
      </c>
      <c r="R92" s="65" t="s">
        <v>394</v>
      </c>
      <c r="S92" s="65" t="s">
        <v>394</v>
      </c>
      <c r="T92" s="65" t="s">
        <v>394</v>
      </c>
      <c r="U92" s="65" t="s">
        <v>394</v>
      </c>
      <c r="V92" s="65" t="s">
        <v>394</v>
      </c>
      <c r="W92" s="65" t="s">
        <v>394</v>
      </c>
      <c r="X92" s="65" t="s">
        <v>394</v>
      </c>
      <c r="Y92" s="90">
        <v>9</v>
      </c>
    </row>
    <row r="96" spans="4:31">
      <c r="D96">
        <v>2</v>
      </c>
      <c r="E96">
        <v>1</v>
      </c>
      <c r="F96" t="s">
        <v>137</v>
      </c>
      <c r="G96" t="s">
        <v>138</v>
      </c>
      <c r="H96" t="s">
        <v>346</v>
      </c>
      <c r="I96" t="s">
        <v>347</v>
      </c>
    </row>
    <row r="97" spans="4:31">
      <c r="J97" s="82" t="s">
        <v>348</v>
      </c>
      <c r="K97" s="82" t="s">
        <v>349</v>
      </c>
      <c r="L97" s="82" t="s">
        <v>350</v>
      </c>
      <c r="M97" s="82" t="s">
        <v>351</v>
      </c>
      <c r="N97" s="82" t="s">
        <v>352</v>
      </c>
      <c r="O97" s="82" t="s">
        <v>353</v>
      </c>
      <c r="P97" s="82" t="s">
        <v>354</v>
      </c>
      <c r="Q97" s="82" t="s">
        <v>355</v>
      </c>
      <c r="R97" s="82" t="s">
        <v>356</v>
      </c>
      <c r="S97" s="82" t="s">
        <v>357</v>
      </c>
      <c r="T97" s="82" t="s">
        <v>358</v>
      </c>
      <c r="U97" s="82" t="s">
        <v>359</v>
      </c>
      <c r="V97" s="82" t="s">
        <v>360</v>
      </c>
      <c r="W97" s="82" t="s">
        <v>361</v>
      </c>
      <c r="X97" s="82" t="s">
        <v>75</v>
      </c>
      <c r="Y97" s="82" t="s">
        <v>362</v>
      </c>
      <c r="Z97" s="82" t="s">
        <v>363</v>
      </c>
      <c r="AA97" s="82" t="s">
        <v>364</v>
      </c>
      <c r="AB97" s="82" t="s">
        <v>365</v>
      </c>
      <c r="AC97" s="82" t="s">
        <v>366</v>
      </c>
      <c r="AD97" s="82" t="s">
        <v>367</v>
      </c>
      <c r="AE97" s="82" t="s">
        <v>368</v>
      </c>
    </row>
    <row r="98" spans="4:31">
      <c r="J98" s="82" t="s">
        <v>369</v>
      </c>
      <c r="K98" s="82" t="s">
        <v>370</v>
      </c>
      <c r="L98" s="82" t="s">
        <v>371</v>
      </c>
      <c r="M98" s="82" t="s">
        <v>372</v>
      </c>
      <c r="N98" s="82" t="s">
        <v>373</v>
      </c>
      <c r="O98" s="82" t="s">
        <v>374</v>
      </c>
      <c r="P98" s="82" t="s">
        <v>375</v>
      </c>
      <c r="Q98" s="82" t="s">
        <v>376</v>
      </c>
      <c r="R98" s="82" t="s">
        <v>377</v>
      </c>
      <c r="S98" s="82" t="s">
        <v>378</v>
      </c>
      <c r="T98" s="82" t="s">
        <v>379</v>
      </c>
      <c r="U98" s="82" t="s">
        <v>380</v>
      </c>
      <c r="V98" s="82" t="s">
        <v>381</v>
      </c>
      <c r="W98" s="82" t="s">
        <v>382</v>
      </c>
      <c r="X98" s="82" t="s">
        <v>383</v>
      </c>
      <c r="Y98" s="82" t="s">
        <v>384</v>
      </c>
      <c r="Z98" s="82" t="s">
        <v>385</v>
      </c>
      <c r="AA98" s="82" t="s">
        <v>386</v>
      </c>
      <c r="AB98" s="82" t="s">
        <v>387</v>
      </c>
      <c r="AC98" s="82" t="s">
        <v>388</v>
      </c>
      <c r="AD98" s="82" t="s">
        <v>389</v>
      </c>
      <c r="AE98" s="82" t="s">
        <v>390</v>
      </c>
    </row>
    <row r="99" spans="4:31">
      <c r="J99" s="82" t="s">
        <v>391</v>
      </c>
      <c r="K99" s="82" t="s">
        <v>392</v>
      </c>
      <c r="L99" s="82" t="s">
        <v>393</v>
      </c>
      <c r="M99" s="82" t="s">
        <v>393</v>
      </c>
      <c r="N99" s="82" t="s">
        <v>393</v>
      </c>
      <c r="O99" s="82" t="s">
        <v>393</v>
      </c>
      <c r="P99" s="82" t="s">
        <v>393</v>
      </c>
      <c r="Q99" s="82" t="s">
        <v>393</v>
      </c>
      <c r="R99" s="82" t="s">
        <v>393</v>
      </c>
      <c r="S99" s="82" t="s">
        <v>393</v>
      </c>
      <c r="T99" s="82" t="s">
        <v>393</v>
      </c>
      <c r="U99" s="82" t="s">
        <v>393</v>
      </c>
      <c r="V99" s="82" t="s">
        <v>393</v>
      </c>
      <c r="W99" s="82" t="s">
        <v>393</v>
      </c>
      <c r="X99" s="82" t="s">
        <v>393</v>
      </c>
      <c r="Y99" s="82" t="s">
        <v>393</v>
      </c>
      <c r="Z99" s="82" t="s">
        <v>393</v>
      </c>
      <c r="AA99" s="82" t="s">
        <v>392</v>
      </c>
      <c r="AB99" s="82" t="s">
        <v>393</v>
      </c>
      <c r="AC99" s="82" t="s">
        <v>393</v>
      </c>
      <c r="AD99" s="82" t="s">
        <v>393</v>
      </c>
      <c r="AE99" s="82" t="s">
        <v>393</v>
      </c>
    </row>
    <row r="100" spans="4:31">
      <c r="J100" s="87">
        <v>1</v>
      </c>
      <c r="K100" s="96">
        <v>46011</v>
      </c>
      <c r="L100" s="86" t="s">
        <v>146</v>
      </c>
      <c r="M100" s="86" t="s">
        <v>734</v>
      </c>
      <c r="N100" s="86" t="s">
        <v>459</v>
      </c>
      <c r="O100" s="86" t="s">
        <v>748</v>
      </c>
      <c r="P100" s="86" t="s">
        <v>658</v>
      </c>
      <c r="Q100" s="86" t="s">
        <v>671</v>
      </c>
      <c r="R100" s="86" t="s">
        <v>114</v>
      </c>
      <c r="S100" s="86" t="s">
        <v>710</v>
      </c>
      <c r="T100" s="86" t="s">
        <v>261</v>
      </c>
      <c r="U100" s="86" t="s">
        <v>722</v>
      </c>
      <c r="V100" s="86" t="s">
        <v>262</v>
      </c>
      <c r="W100" s="86" t="s">
        <v>677</v>
      </c>
      <c r="X100" s="86" t="s">
        <v>661</v>
      </c>
      <c r="Y100" s="86" t="s">
        <v>817</v>
      </c>
      <c r="Z100" s="86" t="s">
        <v>854</v>
      </c>
      <c r="AA100" s="95">
        <v>46011.416666666664</v>
      </c>
      <c r="AB100" s="86" t="s">
        <v>786</v>
      </c>
      <c r="AC100" s="86" t="s">
        <v>674</v>
      </c>
      <c r="AD100" s="86" t="s">
        <v>860</v>
      </c>
      <c r="AE100" s="86" t="s">
        <v>1035</v>
      </c>
    </row>
    <row r="101" spans="4:31">
      <c r="J101" s="87">
        <v>2</v>
      </c>
      <c r="K101" s="96">
        <v>46011</v>
      </c>
      <c r="L101" s="86" t="s">
        <v>260</v>
      </c>
      <c r="M101" s="86" t="s">
        <v>737</v>
      </c>
      <c r="N101" s="86" t="s">
        <v>458</v>
      </c>
      <c r="O101" s="86" t="s">
        <v>745</v>
      </c>
      <c r="P101" s="86" t="s">
        <v>658</v>
      </c>
      <c r="Q101" s="86" t="s">
        <v>671</v>
      </c>
      <c r="R101" s="86" t="s">
        <v>114</v>
      </c>
      <c r="S101" s="86" t="s">
        <v>710</v>
      </c>
      <c r="T101" s="86" t="s">
        <v>261</v>
      </c>
      <c r="U101" s="86" t="s">
        <v>722</v>
      </c>
      <c r="V101" s="86" t="s">
        <v>262</v>
      </c>
      <c r="W101" s="86" t="s">
        <v>677</v>
      </c>
      <c r="X101" s="86" t="s">
        <v>661</v>
      </c>
      <c r="Y101" s="86" t="s">
        <v>817</v>
      </c>
      <c r="Z101" s="86" t="s">
        <v>857</v>
      </c>
      <c r="AA101" s="95">
        <v>46011.416666666664</v>
      </c>
      <c r="AB101" s="86" t="s">
        <v>786</v>
      </c>
      <c r="AC101" s="86" t="s">
        <v>675</v>
      </c>
      <c r="AD101" s="86" t="s">
        <v>867</v>
      </c>
      <c r="AE101" s="86" t="s">
        <v>1035</v>
      </c>
    </row>
    <row r="104" spans="4:31">
      <c r="D104">
        <v>3</v>
      </c>
      <c r="E104">
        <v>1</v>
      </c>
      <c r="F104" t="s">
        <v>136</v>
      </c>
      <c r="G104" t="s">
        <v>138</v>
      </c>
      <c r="H104" t="s">
        <v>344</v>
      </c>
      <c r="I104" t="s">
        <v>345</v>
      </c>
    </row>
    <row r="105" spans="4:31">
      <c r="J105" s="82" t="s">
        <v>349</v>
      </c>
      <c r="K105" s="82" t="s">
        <v>350</v>
      </c>
      <c r="L105" s="82" t="s">
        <v>351</v>
      </c>
      <c r="M105" s="82" t="s">
        <v>352</v>
      </c>
      <c r="N105" s="82" t="s">
        <v>353</v>
      </c>
      <c r="O105" s="82" t="s">
        <v>354</v>
      </c>
      <c r="P105" s="82" t="s">
        <v>355</v>
      </c>
      <c r="Q105" s="82" t="s">
        <v>356</v>
      </c>
      <c r="R105" s="82" t="s">
        <v>357</v>
      </c>
      <c r="S105" s="82" t="s">
        <v>358</v>
      </c>
      <c r="T105" s="82" t="s">
        <v>359</v>
      </c>
      <c r="U105" s="82" t="s">
        <v>360</v>
      </c>
      <c r="V105" s="82" t="s">
        <v>361</v>
      </c>
      <c r="W105" s="82" t="s">
        <v>75</v>
      </c>
      <c r="X105" s="82" t="s">
        <v>362</v>
      </c>
      <c r="Y105" s="82" t="s">
        <v>326</v>
      </c>
    </row>
    <row r="106" spans="4:31">
      <c r="J106" s="82" t="s">
        <v>370</v>
      </c>
      <c r="K106" s="82" t="s">
        <v>371</v>
      </c>
      <c r="L106" s="82" t="s">
        <v>372</v>
      </c>
      <c r="M106" s="82" t="s">
        <v>373</v>
      </c>
      <c r="N106" s="82" t="s">
        <v>374</v>
      </c>
      <c r="O106" s="82" t="s">
        <v>375</v>
      </c>
      <c r="P106" s="82" t="s">
        <v>376</v>
      </c>
      <c r="Q106" s="82" t="s">
        <v>377</v>
      </c>
      <c r="R106" s="82" t="s">
        <v>378</v>
      </c>
      <c r="S106" s="82" t="s">
        <v>379</v>
      </c>
      <c r="T106" s="82" t="s">
        <v>380</v>
      </c>
      <c r="U106" s="82" t="s">
        <v>381</v>
      </c>
      <c r="V106" s="82" t="s">
        <v>382</v>
      </c>
      <c r="W106" s="82" t="s">
        <v>383</v>
      </c>
      <c r="X106" s="82" t="s">
        <v>384</v>
      </c>
      <c r="Y106" s="82" t="s">
        <v>395</v>
      </c>
    </row>
    <row r="107" spans="4:31">
      <c r="I107" s="77"/>
      <c r="J107" s="82" t="s">
        <v>392</v>
      </c>
      <c r="K107" s="82" t="s">
        <v>393</v>
      </c>
      <c r="L107" s="82" t="s">
        <v>393</v>
      </c>
      <c r="M107" s="82" t="s">
        <v>393</v>
      </c>
      <c r="N107" s="82" t="s">
        <v>393</v>
      </c>
      <c r="O107" s="82" t="s">
        <v>393</v>
      </c>
      <c r="P107" s="82" t="s">
        <v>393</v>
      </c>
      <c r="Q107" s="82" t="s">
        <v>393</v>
      </c>
      <c r="R107" s="82" t="s">
        <v>393</v>
      </c>
      <c r="S107" s="82" t="s">
        <v>393</v>
      </c>
      <c r="T107" s="82" t="s">
        <v>393</v>
      </c>
      <c r="U107" s="82" t="s">
        <v>393</v>
      </c>
      <c r="V107" s="82" t="s">
        <v>393</v>
      </c>
      <c r="W107" s="82" t="s">
        <v>393</v>
      </c>
      <c r="X107" s="82" t="s">
        <v>393</v>
      </c>
      <c r="Y107" s="82" t="s">
        <v>393</v>
      </c>
    </row>
    <row r="108" spans="4:31">
      <c r="J108" s="107" t="s">
        <v>1012</v>
      </c>
      <c r="K108" s="65" t="s">
        <v>394</v>
      </c>
      <c r="L108" s="65" t="s">
        <v>394</v>
      </c>
      <c r="M108" s="65" t="s">
        <v>394</v>
      </c>
      <c r="N108" s="65" t="s">
        <v>394</v>
      </c>
      <c r="O108" s="65" t="s">
        <v>394</v>
      </c>
      <c r="P108" s="65" t="s">
        <v>394</v>
      </c>
      <c r="Q108" s="110" t="s">
        <v>115</v>
      </c>
      <c r="R108" s="65" t="s">
        <v>394</v>
      </c>
      <c r="S108" s="65" t="s">
        <v>394</v>
      </c>
      <c r="T108" s="65" t="s">
        <v>394</v>
      </c>
      <c r="U108" s="65" t="s">
        <v>394</v>
      </c>
      <c r="V108" s="65" t="s">
        <v>394</v>
      </c>
      <c r="W108" s="65" t="s">
        <v>394</v>
      </c>
      <c r="X108" s="65" t="s">
        <v>394</v>
      </c>
      <c r="Y108" s="90">
        <v>9</v>
      </c>
    </row>
    <row r="112" spans="4:31">
      <c r="D112">
        <v>3</v>
      </c>
      <c r="E112">
        <v>1</v>
      </c>
      <c r="F112" t="s">
        <v>137</v>
      </c>
      <c r="G112" t="s">
        <v>138</v>
      </c>
      <c r="H112" t="s">
        <v>346</v>
      </c>
      <c r="I112" t="s">
        <v>347</v>
      </c>
    </row>
    <row r="113" spans="4:31">
      <c r="J113" s="82" t="s">
        <v>348</v>
      </c>
      <c r="K113" s="82" t="s">
        <v>349</v>
      </c>
      <c r="L113" s="82" t="s">
        <v>350</v>
      </c>
      <c r="M113" s="82" t="s">
        <v>351</v>
      </c>
      <c r="N113" s="82" t="s">
        <v>352</v>
      </c>
      <c r="O113" s="82" t="s">
        <v>353</v>
      </c>
      <c r="P113" s="82" t="s">
        <v>354</v>
      </c>
      <c r="Q113" s="82" t="s">
        <v>355</v>
      </c>
      <c r="R113" s="82" t="s">
        <v>356</v>
      </c>
      <c r="S113" s="82" t="s">
        <v>357</v>
      </c>
      <c r="T113" s="82" t="s">
        <v>358</v>
      </c>
      <c r="U113" s="82" t="s">
        <v>359</v>
      </c>
      <c r="V113" s="82" t="s">
        <v>360</v>
      </c>
      <c r="W113" s="82" t="s">
        <v>361</v>
      </c>
      <c r="X113" s="82" t="s">
        <v>75</v>
      </c>
      <c r="Y113" s="82" t="s">
        <v>362</v>
      </c>
      <c r="Z113" s="82" t="s">
        <v>363</v>
      </c>
      <c r="AA113" s="82" t="s">
        <v>364</v>
      </c>
      <c r="AB113" s="82" t="s">
        <v>365</v>
      </c>
      <c r="AC113" s="82" t="s">
        <v>366</v>
      </c>
      <c r="AD113" s="82" t="s">
        <v>367</v>
      </c>
      <c r="AE113" s="82" t="s">
        <v>368</v>
      </c>
    </row>
    <row r="114" spans="4:31">
      <c r="J114" s="82" t="s">
        <v>369</v>
      </c>
      <c r="K114" s="82" t="s">
        <v>370</v>
      </c>
      <c r="L114" s="82" t="s">
        <v>371</v>
      </c>
      <c r="M114" s="82" t="s">
        <v>372</v>
      </c>
      <c r="N114" s="82" t="s">
        <v>373</v>
      </c>
      <c r="O114" s="82" t="s">
        <v>374</v>
      </c>
      <c r="P114" s="82" t="s">
        <v>375</v>
      </c>
      <c r="Q114" s="82" t="s">
        <v>376</v>
      </c>
      <c r="R114" s="82" t="s">
        <v>377</v>
      </c>
      <c r="S114" s="82" t="s">
        <v>378</v>
      </c>
      <c r="T114" s="82" t="s">
        <v>379</v>
      </c>
      <c r="U114" s="82" t="s">
        <v>380</v>
      </c>
      <c r="V114" s="82" t="s">
        <v>381</v>
      </c>
      <c r="W114" s="82" t="s">
        <v>382</v>
      </c>
      <c r="X114" s="82" t="s">
        <v>383</v>
      </c>
      <c r="Y114" s="82" t="s">
        <v>384</v>
      </c>
      <c r="Z114" s="82" t="s">
        <v>385</v>
      </c>
      <c r="AA114" s="82" t="s">
        <v>386</v>
      </c>
      <c r="AB114" s="82" t="s">
        <v>387</v>
      </c>
      <c r="AC114" s="82" t="s">
        <v>388</v>
      </c>
      <c r="AD114" s="82" t="s">
        <v>389</v>
      </c>
      <c r="AE114" s="82" t="s">
        <v>390</v>
      </c>
    </row>
    <row r="115" spans="4:31">
      <c r="J115" s="82" t="s">
        <v>391</v>
      </c>
      <c r="K115" s="82" t="s">
        <v>392</v>
      </c>
      <c r="L115" s="82" t="s">
        <v>393</v>
      </c>
      <c r="M115" s="82" t="s">
        <v>393</v>
      </c>
      <c r="N115" s="82" t="s">
        <v>393</v>
      </c>
      <c r="O115" s="82" t="s">
        <v>393</v>
      </c>
      <c r="P115" s="82" t="s">
        <v>393</v>
      </c>
      <c r="Q115" s="82" t="s">
        <v>393</v>
      </c>
      <c r="R115" s="82" t="s">
        <v>393</v>
      </c>
      <c r="S115" s="82" t="s">
        <v>393</v>
      </c>
      <c r="T115" s="82" t="s">
        <v>393</v>
      </c>
      <c r="U115" s="82" t="s">
        <v>393</v>
      </c>
      <c r="V115" s="82" t="s">
        <v>393</v>
      </c>
      <c r="W115" s="82" t="s">
        <v>393</v>
      </c>
      <c r="X115" s="82" t="s">
        <v>393</v>
      </c>
      <c r="Y115" s="82" t="s">
        <v>393</v>
      </c>
      <c r="Z115" s="82" t="s">
        <v>393</v>
      </c>
      <c r="AA115" s="82" t="s">
        <v>392</v>
      </c>
      <c r="AB115" s="82" t="s">
        <v>393</v>
      </c>
      <c r="AC115" s="82" t="s">
        <v>393</v>
      </c>
      <c r="AD115" s="82" t="s">
        <v>393</v>
      </c>
      <c r="AE115" s="82" t="s">
        <v>393</v>
      </c>
    </row>
    <row r="116" spans="4:31">
      <c r="J116" s="87">
        <v>1</v>
      </c>
      <c r="K116" s="96">
        <v>46011</v>
      </c>
      <c r="L116" s="86" t="s">
        <v>146</v>
      </c>
      <c r="M116" s="86" t="s">
        <v>734</v>
      </c>
      <c r="N116" s="86" t="s">
        <v>458</v>
      </c>
      <c r="O116" s="86" t="s">
        <v>745</v>
      </c>
      <c r="P116" s="86" t="s">
        <v>659</v>
      </c>
      <c r="Q116" s="86" t="s">
        <v>672</v>
      </c>
      <c r="R116" s="86" t="s">
        <v>115</v>
      </c>
      <c r="S116" s="86" t="s">
        <v>714</v>
      </c>
      <c r="T116" s="86" t="s">
        <v>112</v>
      </c>
      <c r="U116" s="86" t="s">
        <v>725</v>
      </c>
      <c r="V116" s="86" t="s">
        <v>262</v>
      </c>
      <c r="W116" s="86" t="s">
        <v>677</v>
      </c>
      <c r="X116" s="86" t="s">
        <v>661</v>
      </c>
      <c r="Y116" s="86" t="s">
        <v>817</v>
      </c>
      <c r="Z116" s="86" t="s">
        <v>845</v>
      </c>
      <c r="AA116" s="95">
        <v>46011.416666666664</v>
      </c>
      <c r="AB116" s="86" t="s">
        <v>786</v>
      </c>
      <c r="AC116" s="86" t="s">
        <v>674</v>
      </c>
      <c r="AD116" s="86" t="s">
        <v>860</v>
      </c>
      <c r="AE116" s="86" t="s">
        <v>1035</v>
      </c>
    </row>
    <row r="117" spans="4:31">
      <c r="J117" s="87">
        <v>2</v>
      </c>
      <c r="K117" s="96">
        <v>46011</v>
      </c>
      <c r="L117" s="86" t="s">
        <v>146</v>
      </c>
      <c r="M117" s="86" t="s">
        <v>734</v>
      </c>
      <c r="N117" s="86" t="s">
        <v>458</v>
      </c>
      <c r="O117" s="86" t="s">
        <v>745</v>
      </c>
      <c r="P117" s="86" t="s">
        <v>659</v>
      </c>
      <c r="Q117" s="86" t="s">
        <v>672</v>
      </c>
      <c r="R117" s="86" t="s">
        <v>115</v>
      </c>
      <c r="S117" s="86" t="s">
        <v>714</v>
      </c>
      <c r="T117" s="86" t="s">
        <v>112</v>
      </c>
      <c r="U117" s="86" t="s">
        <v>725</v>
      </c>
      <c r="V117" s="86" t="s">
        <v>262</v>
      </c>
      <c r="W117" s="86" t="s">
        <v>677</v>
      </c>
      <c r="X117" s="86" t="s">
        <v>662</v>
      </c>
      <c r="Y117" s="86" t="s">
        <v>823</v>
      </c>
      <c r="Z117" s="86" t="s">
        <v>836</v>
      </c>
      <c r="AA117" s="95">
        <v>46011.416666666664</v>
      </c>
      <c r="AB117" s="86" t="s">
        <v>786</v>
      </c>
      <c r="AC117" s="86" t="s">
        <v>674</v>
      </c>
      <c r="AD117" s="86" t="s">
        <v>860</v>
      </c>
      <c r="AE117" s="86" t="s">
        <v>1035</v>
      </c>
    </row>
    <row r="118" spans="4:31">
      <c r="J118" s="87">
        <v>3</v>
      </c>
      <c r="K118" s="96">
        <v>46011</v>
      </c>
      <c r="L118" s="86" t="s">
        <v>146</v>
      </c>
      <c r="M118" s="86" t="s">
        <v>734</v>
      </c>
      <c r="N118" s="86" t="s">
        <v>458</v>
      </c>
      <c r="O118" s="86" t="s">
        <v>745</v>
      </c>
      <c r="P118" s="86" t="s">
        <v>659</v>
      </c>
      <c r="Q118" s="86" t="s">
        <v>672</v>
      </c>
      <c r="R118" s="86" t="s">
        <v>115</v>
      </c>
      <c r="S118" s="86" t="s">
        <v>714</v>
      </c>
      <c r="T118" s="86" t="s">
        <v>112</v>
      </c>
      <c r="U118" s="86" t="s">
        <v>725</v>
      </c>
      <c r="V118" s="86" t="s">
        <v>457</v>
      </c>
      <c r="W118" s="86" t="s">
        <v>678</v>
      </c>
      <c r="X118" s="86" t="s">
        <v>664</v>
      </c>
      <c r="Y118" s="86" t="s">
        <v>829</v>
      </c>
      <c r="Z118" s="86" t="s">
        <v>839</v>
      </c>
      <c r="AA118" s="95">
        <v>46011.416666666664</v>
      </c>
      <c r="AB118" s="86" t="s">
        <v>786</v>
      </c>
      <c r="AC118" s="86" t="s">
        <v>674</v>
      </c>
      <c r="AD118" s="86" t="s">
        <v>860</v>
      </c>
      <c r="AE118" s="86" t="s">
        <v>1035</v>
      </c>
    </row>
    <row r="119" spans="4:31">
      <c r="J119" s="87">
        <v>4</v>
      </c>
      <c r="K119" s="96">
        <v>46011</v>
      </c>
      <c r="L119" s="86" t="s">
        <v>146</v>
      </c>
      <c r="M119" s="86" t="s">
        <v>734</v>
      </c>
      <c r="N119" s="86" t="s">
        <v>458</v>
      </c>
      <c r="O119" s="86" t="s">
        <v>745</v>
      </c>
      <c r="P119" s="86" t="s">
        <v>659</v>
      </c>
      <c r="Q119" s="86" t="s">
        <v>672</v>
      </c>
      <c r="R119" s="86" t="s">
        <v>115</v>
      </c>
      <c r="S119" s="86" t="s">
        <v>714</v>
      </c>
      <c r="T119" s="86" t="s">
        <v>113</v>
      </c>
      <c r="U119" s="86" t="s">
        <v>728</v>
      </c>
      <c r="V119" s="86" t="s">
        <v>458</v>
      </c>
      <c r="W119" s="86" t="s">
        <v>679</v>
      </c>
      <c r="X119" s="86" t="s">
        <v>661</v>
      </c>
      <c r="Y119" s="86" t="s">
        <v>817</v>
      </c>
      <c r="Z119" s="86" t="s">
        <v>842</v>
      </c>
      <c r="AA119" s="95">
        <v>46011.416666666664</v>
      </c>
      <c r="AB119" s="86" t="s">
        <v>786</v>
      </c>
      <c r="AC119" s="86" t="s">
        <v>674</v>
      </c>
      <c r="AD119" s="86" t="s">
        <v>860</v>
      </c>
      <c r="AE119" s="86" t="s">
        <v>1035</v>
      </c>
    </row>
    <row r="123" spans="4:31">
      <c r="D123">
        <v>4</v>
      </c>
      <c r="E123">
        <v>1</v>
      </c>
      <c r="F123" t="s">
        <v>136</v>
      </c>
      <c r="G123" t="s">
        <v>138</v>
      </c>
      <c r="H123" t="s">
        <v>344</v>
      </c>
      <c r="I123" t="s">
        <v>345</v>
      </c>
    </row>
    <row r="124" spans="4:31">
      <c r="J124" s="82" t="s">
        <v>349</v>
      </c>
      <c r="K124" s="82" t="s">
        <v>350</v>
      </c>
      <c r="L124" s="82" t="s">
        <v>351</v>
      </c>
      <c r="M124" s="82" t="s">
        <v>352</v>
      </c>
      <c r="N124" s="82" t="s">
        <v>353</v>
      </c>
      <c r="O124" s="82" t="s">
        <v>354</v>
      </c>
      <c r="P124" s="82" t="s">
        <v>355</v>
      </c>
      <c r="Q124" s="82" t="s">
        <v>356</v>
      </c>
      <c r="R124" s="82" t="s">
        <v>357</v>
      </c>
      <c r="S124" s="82" t="s">
        <v>358</v>
      </c>
      <c r="T124" s="82" t="s">
        <v>359</v>
      </c>
      <c r="U124" s="82" t="s">
        <v>360</v>
      </c>
      <c r="V124" s="82" t="s">
        <v>361</v>
      </c>
      <c r="W124" s="82" t="s">
        <v>75</v>
      </c>
      <c r="X124" s="82" t="s">
        <v>362</v>
      </c>
      <c r="Y124" s="82" t="s">
        <v>326</v>
      </c>
    </row>
    <row r="125" spans="4:31">
      <c r="J125" s="82" t="s">
        <v>370</v>
      </c>
      <c r="K125" s="82" t="s">
        <v>371</v>
      </c>
      <c r="L125" s="82" t="s">
        <v>372</v>
      </c>
      <c r="M125" s="82" t="s">
        <v>373</v>
      </c>
      <c r="N125" s="82" t="s">
        <v>374</v>
      </c>
      <c r="O125" s="82" t="s">
        <v>375</v>
      </c>
      <c r="P125" s="82" t="s">
        <v>376</v>
      </c>
      <c r="Q125" s="82" t="s">
        <v>377</v>
      </c>
      <c r="R125" s="82" t="s">
        <v>378</v>
      </c>
      <c r="S125" s="82" t="s">
        <v>379</v>
      </c>
      <c r="T125" s="82" t="s">
        <v>380</v>
      </c>
      <c r="U125" s="82" t="s">
        <v>381</v>
      </c>
      <c r="V125" s="82" t="s">
        <v>382</v>
      </c>
      <c r="W125" s="82" t="s">
        <v>383</v>
      </c>
      <c r="X125" s="82" t="s">
        <v>384</v>
      </c>
      <c r="Y125" s="82" t="s">
        <v>395</v>
      </c>
    </row>
    <row r="126" spans="4:31">
      <c r="I126" s="77"/>
      <c r="J126" s="82" t="s">
        <v>392</v>
      </c>
      <c r="K126" s="82" t="s">
        <v>393</v>
      </c>
      <c r="L126" s="82" t="s">
        <v>393</v>
      </c>
      <c r="M126" s="82" t="s">
        <v>393</v>
      </c>
      <c r="N126" s="82" t="s">
        <v>393</v>
      </c>
      <c r="O126" s="82" t="s">
        <v>393</v>
      </c>
      <c r="P126" s="82" t="s">
        <v>393</v>
      </c>
      <c r="Q126" s="82" t="s">
        <v>393</v>
      </c>
      <c r="R126" s="82" t="s">
        <v>393</v>
      </c>
      <c r="S126" s="82" t="s">
        <v>393</v>
      </c>
      <c r="T126" s="82" t="s">
        <v>393</v>
      </c>
      <c r="U126" s="82" t="s">
        <v>393</v>
      </c>
      <c r="V126" s="82" t="s">
        <v>393</v>
      </c>
      <c r="W126" s="82" t="s">
        <v>393</v>
      </c>
      <c r="X126" s="82" t="s">
        <v>393</v>
      </c>
      <c r="Y126" s="82" t="s">
        <v>393</v>
      </c>
    </row>
    <row r="127" spans="4:31">
      <c r="J127" s="107" t="s">
        <v>1012</v>
      </c>
      <c r="K127" s="65" t="s">
        <v>394</v>
      </c>
      <c r="L127" s="65" t="s">
        <v>394</v>
      </c>
      <c r="M127" s="65" t="s">
        <v>394</v>
      </c>
      <c r="N127" s="65" t="s">
        <v>394</v>
      </c>
      <c r="O127" s="65" t="s">
        <v>394</v>
      </c>
      <c r="P127" s="65" t="s">
        <v>394</v>
      </c>
      <c r="Q127" s="65" t="s">
        <v>394</v>
      </c>
      <c r="R127" s="65" t="s">
        <v>394</v>
      </c>
      <c r="S127" s="65" t="s">
        <v>394</v>
      </c>
      <c r="T127" s="110" t="s">
        <v>113</v>
      </c>
      <c r="U127" s="65" t="s">
        <v>394</v>
      </c>
      <c r="V127" s="65" t="s">
        <v>394</v>
      </c>
      <c r="W127" s="65" t="s">
        <v>394</v>
      </c>
      <c r="X127" s="65" t="s">
        <v>394</v>
      </c>
      <c r="Y127" s="90">
        <v>9</v>
      </c>
    </row>
    <row r="131" spans="4:31">
      <c r="D131">
        <v>4</v>
      </c>
      <c r="E131">
        <v>1</v>
      </c>
      <c r="F131" t="s">
        <v>137</v>
      </c>
      <c r="G131" t="s">
        <v>138</v>
      </c>
      <c r="H131" t="s">
        <v>346</v>
      </c>
      <c r="I131" t="s">
        <v>347</v>
      </c>
    </row>
    <row r="132" spans="4:31">
      <c r="J132" s="82" t="s">
        <v>348</v>
      </c>
      <c r="K132" s="82" t="s">
        <v>349</v>
      </c>
      <c r="L132" s="82" t="s">
        <v>350</v>
      </c>
      <c r="M132" s="82" t="s">
        <v>351</v>
      </c>
      <c r="N132" s="82" t="s">
        <v>352</v>
      </c>
      <c r="O132" s="82" t="s">
        <v>353</v>
      </c>
      <c r="P132" s="82" t="s">
        <v>354</v>
      </c>
      <c r="Q132" s="82" t="s">
        <v>355</v>
      </c>
      <c r="R132" s="82" t="s">
        <v>356</v>
      </c>
      <c r="S132" s="82" t="s">
        <v>357</v>
      </c>
      <c r="T132" s="82" t="s">
        <v>358</v>
      </c>
      <c r="U132" s="82" t="s">
        <v>359</v>
      </c>
      <c r="V132" s="82" t="s">
        <v>360</v>
      </c>
      <c r="W132" s="82" t="s">
        <v>361</v>
      </c>
      <c r="X132" s="82" t="s">
        <v>75</v>
      </c>
      <c r="Y132" s="82" t="s">
        <v>362</v>
      </c>
      <c r="Z132" s="82" t="s">
        <v>363</v>
      </c>
      <c r="AA132" s="82" t="s">
        <v>364</v>
      </c>
      <c r="AB132" s="82" t="s">
        <v>365</v>
      </c>
      <c r="AC132" s="82" t="s">
        <v>366</v>
      </c>
      <c r="AD132" s="82" t="s">
        <v>367</v>
      </c>
      <c r="AE132" s="82" t="s">
        <v>368</v>
      </c>
    </row>
    <row r="133" spans="4:31">
      <c r="J133" s="82" t="s">
        <v>369</v>
      </c>
      <c r="K133" s="82" t="s">
        <v>370</v>
      </c>
      <c r="L133" s="82" t="s">
        <v>371</v>
      </c>
      <c r="M133" s="82" t="s">
        <v>372</v>
      </c>
      <c r="N133" s="82" t="s">
        <v>373</v>
      </c>
      <c r="O133" s="82" t="s">
        <v>374</v>
      </c>
      <c r="P133" s="82" t="s">
        <v>375</v>
      </c>
      <c r="Q133" s="82" t="s">
        <v>376</v>
      </c>
      <c r="R133" s="82" t="s">
        <v>377</v>
      </c>
      <c r="S133" s="82" t="s">
        <v>378</v>
      </c>
      <c r="T133" s="82" t="s">
        <v>379</v>
      </c>
      <c r="U133" s="82" t="s">
        <v>380</v>
      </c>
      <c r="V133" s="82" t="s">
        <v>381</v>
      </c>
      <c r="W133" s="82" t="s">
        <v>382</v>
      </c>
      <c r="X133" s="82" t="s">
        <v>383</v>
      </c>
      <c r="Y133" s="82" t="s">
        <v>384</v>
      </c>
      <c r="Z133" s="82" t="s">
        <v>385</v>
      </c>
      <c r="AA133" s="82" t="s">
        <v>386</v>
      </c>
      <c r="AB133" s="82" t="s">
        <v>387</v>
      </c>
      <c r="AC133" s="82" t="s">
        <v>388</v>
      </c>
      <c r="AD133" s="82" t="s">
        <v>389</v>
      </c>
      <c r="AE133" s="82" t="s">
        <v>390</v>
      </c>
    </row>
    <row r="134" spans="4:31">
      <c r="J134" s="82" t="s">
        <v>391</v>
      </c>
      <c r="K134" s="82" t="s">
        <v>392</v>
      </c>
      <c r="L134" s="82" t="s">
        <v>393</v>
      </c>
      <c r="M134" s="82" t="s">
        <v>393</v>
      </c>
      <c r="N134" s="82" t="s">
        <v>393</v>
      </c>
      <c r="O134" s="82" t="s">
        <v>393</v>
      </c>
      <c r="P134" s="82" t="s">
        <v>393</v>
      </c>
      <c r="Q134" s="82" t="s">
        <v>393</v>
      </c>
      <c r="R134" s="82" t="s">
        <v>393</v>
      </c>
      <c r="S134" s="82" t="s">
        <v>393</v>
      </c>
      <c r="T134" s="82" t="s">
        <v>393</v>
      </c>
      <c r="U134" s="82" t="s">
        <v>393</v>
      </c>
      <c r="V134" s="82" t="s">
        <v>393</v>
      </c>
      <c r="W134" s="82" t="s">
        <v>393</v>
      </c>
      <c r="X134" s="82" t="s">
        <v>393</v>
      </c>
      <c r="Y134" s="82" t="s">
        <v>393</v>
      </c>
      <c r="Z134" s="82" t="s">
        <v>393</v>
      </c>
      <c r="AA134" s="82" t="s">
        <v>392</v>
      </c>
      <c r="AB134" s="82" t="s">
        <v>393</v>
      </c>
      <c r="AC134" s="82" t="s">
        <v>393</v>
      </c>
      <c r="AD134" s="82" t="s">
        <v>393</v>
      </c>
      <c r="AE134" s="82" t="s">
        <v>393</v>
      </c>
    </row>
    <row r="135" spans="4:31">
      <c r="J135" s="87">
        <v>1</v>
      </c>
      <c r="K135" s="96">
        <v>46011</v>
      </c>
      <c r="L135" s="86" t="s">
        <v>146</v>
      </c>
      <c r="M135" s="86" t="s">
        <v>734</v>
      </c>
      <c r="N135" s="86" t="s">
        <v>458</v>
      </c>
      <c r="O135" s="86" t="s">
        <v>745</v>
      </c>
      <c r="P135" s="86" t="s">
        <v>659</v>
      </c>
      <c r="Q135" s="86" t="s">
        <v>672</v>
      </c>
      <c r="R135" s="86" t="s">
        <v>115</v>
      </c>
      <c r="S135" s="86" t="s">
        <v>714</v>
      </c>
      <c r="T135" s="86" t="s">
        <v>113</v>
      </c>
      <c r="U135" s="86" t="s">
        <v>728</v>
      </c>
      <c r="V135" s="86" t="s">
        <v>458</v>
      </c>
      <c r="W135" s="86" t="s">
        <v>679</v>
      </c>
      <c r="X135" s="86" t="s">
        <v>661</v>
      </c>
      <c r="Y135" s="86" t="s">
        <v>817</v>
      </c>
      <c r="Z135" s="86" t="s">
        <v>842</v>
      </c>
      <c r="AA135" s="95">
        <v>46011.416666666664</v>
      </c>
      <c r="AB135" s="86" t="s">
        <v>786</v>
      </c>
      <c r="AC135" s="86" t="s">
        <v>674</v>
      </c>
      <c r="AD135" s="86" t="s">
        <v>860</v>
      </c>
      <c r="AE135" s="86" t="s">
        <v>1035</v>
      </c>
    </row>
    <row r="139" spans="4:31">
      <c r="D139">
        <v>5</v>
      </c>
      <c r="E139">
        <v>1</v>
      </c>
      <c r="F139" t="s">
        <v>136</v>
      </c>
      <c r="G139" t="s">
        <v>138</v>
      </c>
      <c r="H139" t="s">
        <v>344</v>
      </c>
      <c r="I139" t="s">
        <v>345</v>
      </c>
    </row>
    <row r="140" spans="4:31">
      <c r="J140" s="82" t="s">
        <v>349</v>
      </c>
      <c r="K140" s="82" t="s">
        <v>350</v>
      </c>
      <c r="L140" s="82" t="s">
        <v>351</v>
      </c>
      <c r="M140" s="82" t="s">
        <v>352</v>
      </c>
      <c r="N140" s="82" t="s">
        <v>353</v>
      </c>
      <c r="O140" s="82" t="s">
        <v>354</v>
      </c>
      <c r="P140" s="82" t="s">
        <v>355</v>
      </c>
      <c r="Q140" s="82" t="s">
        <v>356</v>
      </c>
      <c r="R140" s="82" t="s">
        <v>357</v>
      </c>
      <c r="S140" s="82" t="s">
        <v>358</v>
      </c>
      <c r="T140" s="82" t="s">
        <v>359</v>
      </c>
      <c r="U140" s="82" t="s">
        <v>360</v>
      </c>
      <c r="V140" s="82" t="s">
        <v>361</v>
      </c>
      <c r="W140" s="82" t="s">
        <v>75</v>
      </c>
      <c r="X140" s="82" t="s">
        <v>362</v>
      </c>
      <c r="Y140" s="82" t="s">
        <v>326</v>
      </c>
    </row>
    <row r="141" spans="4:31">
      <c r="J141" s="82" t="s">
        <v>370</v>
      </c>
      <c r="K141" s="82" t="s">
        <v>371</v>
      </c>
      <c r="L141" s="82" t="s">
        <v>372</v>
      </c>
      <c r="M141" s="82" t="s">
        <v>373</v>
      </c>
      <c r="N141" s="82" t="s">
        <v>374</v>
      </c>
      <c r="O141" s="82" t="s">
        <v>375</v>
      </c>
      <c r="P141" s="82" t="s">
        <v>376</v>
      </c>
      <c r="Q141" s="82" t="s">
        <v>377</v>
      </c>
      <c r="R141" s="82" t="s">
        <v>378</v>
      </c>
      <c r="S141" s="82" t="s">
        <v>379</v>
      </c>
      <c r="T141" s="82" t="s">
        <v>380</v>
      </c>
      <c r="U141" s="82" t="s">
        <v>381</v>
      </c>
      <c r="V141" s="82" t="s">
        <v>382</v>
      </c>
      <c r="W141" s="82" t="s">
        <v>383</v>
      </c>
      <c r="X141" s="82" t="s">
        <v>384</v>
      </c>
      <c r="Y141" s="82" t="s">
        <v>395</v>
      </c>
    </row>
    <row r="142" spans="4:31">
      <c r="I142" s="77"/>
      <c r="J142" s="82" t="s">
        <v>392</v>
      </c>
      <c r="K142" s="82" t="s">
        <v>393</v>
      </c>
      <c r="L142" s="82" t="s">
        <v>393</v>
      </c>
      <c r="M142" s="82" t="s">
        <v>393</v>
      </c>
      <c r="N142" s="82" t="s">
        <v>393</v>
      </c>
      <c r="O142" s="82" t="s">
        <v>393</v>
      </c>
      <c r="P142" s="82" t="s">
        <v>393</v>
      </c>
      <c r="Q142" s="82" t="s">
        <v>393</v>
      </c>
      <c r="R142" s="82" t="s">
        <v>393</v>
      </c>
      <c r="S142" s="82" t="s">
        <v>393</v>
      </c>
      <c r="T142" s="82" t="s">
        <v>393</v>
      </c>
      <c r="U142" s="82" t="s">
        <v>393</v>
      </c>
      <c r="V142" s="82" t="s">
        <v>393</v>
      </c>
      <c r="W142" s="82" t="s">
        <v>393</v>
      </c>
      <c r="X142" s="82" t="s">
        <v>393</v>
      </c>
      <c r="Y142" s="82" t="s">
        <v>393</v>
      </c>
    </row>
    <row r="143" spans="4:31">
      <c r="J143" s="107" t="s">
        <v>1012</v>
      </c>
      <c r="K143" s="65" t="s">
        <v>394</v>
      </c>
      <c r="L143" s="65" t="s">
        <v>394</v>
      </c>
      <c r="M143" s="65" t="s">
        <v>394</v>
      </c>
      <c r="N143" s="65" t="s">
        <v>394</v>
      </c>
      <c r="O143" s="65" t="s">
        <v>394</v>
      </c>
      <c r="P143" s="65" t="s">
        <v>394</v>
      </c>
      <c r="Q143" s="65" t="s">
        <v>394</v>
      </c>
      <c r="R143" s="65" t="s">
        <v>394</v>
      </c>
      <c r="S143" s="65" t="s">
        <v>394</v>
      </c>
      <c r="T143" s="65" t="s">
        <v>394</v>
      </c>
      <c r="U143" s="90">
        <v>3</v>
      </c>
      <c r="V143" s="65" t="s">
        <v>394</v>
      </c>
      <c r="W143" s="65" t="s">
        <v>394</v>
      </c>
      <c r="X143" s="65" t="s">
        <v>394</v>
      </c>
      <c r="Y143" s="90">
        <v>9</v>
      </c>
    </row>
    <row r="147" spans="4:31">
      <c r="D147">
        <v>5</v>
      </c>
      <c r="E147">
        <v>1</v>
      </c>
      <c r="F147" t="s">
        <v>137</v>
      </c>
      <c r="G147" t="s">
        <v>138</v>
      </c>
      <c r="H147" t="s">
        <v>346</v>
      </c>
      <c r="I147" t="s">
        <v>347</v>
      </c>
    </row>
    <row r="148" spans="4:31">
      <c r="J148" s="82" t="s">
        <v>348</v>
      </c>
      <c r="K148" s="82" t="s">
        <v>349</v>
      </c>
      <c r="L148" s="82" t="s">
        <v>350</v>
      </c>
      <c r="M148" s="82" t="s">
        <v>351</v>
      </c>
      <c r="N148" s="82" t="s">
        <v>352</v>
      </c>
      <c r="O148" s="82" t="s">
        <v>353</v>
      </c>
      <c r="P148" s="82" t="s">
        <v>354</v>
      </c>
      <c r="Q148" s="82" t="s">
        <v>355</v>
      </c>
      <c r="R148" s="82" t="s">
        <v>356</v>
      </c>
      <c r="S148" s="82" t="s">
        <v>357</v>
      </c>
      <c r="T148" s="82" t="s">
        <v>358</v>
      </c>
      <c r="U148" s="82" t="s">
        <v>359</v>
      </c>
      <c r="V148" s="82" t="s">
        <v>360</v>
      </c>
      <c r="W148" s="82" t="s">
        <v>361</v>
      </c>
      <c r="X148" s="82" t="s">
        <v>75</v>
      </c>
      <c r="Y148" s="82" t="s">
        <v>362</v>
      </c>
      <c r="Z148" s="82" t="s">
        <v>363</v>
      </c>
      <c r="AA148" s="82" t="s">
        <v>364</v>
      </c>
      <c r="AB148" s="82" t="s">
        <v>365</v>
      </c>
      <c r="AC148" s="82" t="s">
        <v>366</v>
      </c>
      <c r="AD148" s="82" t="s">
        <v>367</v>
      </c>
      <c r="AE148" s="82" t="s">
        <v>368</v>
      </c>
    </row>
    <row r="149" spans="4:31">
      <c r="J149" s="82" t="s">
        <v>369</v>
      </c>
      <c r="K149" s="82" t="s">
        <v>370</v>
      </c>
      <c r="L149" s="82" t="s">
        <v>371</v>
      </c>
      <c r="M149" s="82" t="s">
        <v>372</v>
      </c>
      <c r="N149" s="82" t="s">
        <v>373</v>
      </c>
      <c r="O149" s="82" t="s">
        <v>374</v>
      </c>
      <c r="P149" s="82" t="s">
        <v>375</v>
      </c>
      <c r="Q149" s="82" t="s">
        <v>376</v>
      </c>
      <c r="R149" s="82" t="s">
        <v>377</v>
      </c>
      <c r="S149" s="82" t="s">
        <v>378</v>
      </c>
      <c r="T149" s="82" t="s">
        <v>379</v>
      </c>
      <c r="U149" s="82" t="s">
        <v>380</v>
      </c>
      <c r="V149" s="82" t="s">
        <v>381</v>
      </c>
      <c r="W149" s="82" t="s">
        <v>382</v>
      </c>
      <c r="X149" s="82" t="s">
        <v>383</v>
      </c>
      <c r="Y149" s="82" t="s">
        <v>384</v>
      </c>
      <c r="Z149" s="82" t="s">
        <v>385</v>
      </c>
      <c r="AA149" s="82" t="s">
        <v>386</v>
      </c>
      <c r="AB149" s="82" t="s">
        <v>387</v>
      </c>
      <c r="AC149" s="82" t="s">
        <v>388</v>
      </c>
      <c r="AD149" s="82" t="s">
        <v>389</v>
      </c>
      <c r="AE149" s="82" t="s">
        <v>390</v>
      </c>
    </row>
    <row r="150" spans="4:31">
      <c r="J150" s="82" t="s">
        <v>391</v>
      </c>
      <c r="K150" s="82" t="s">
        <v>392</v>
      </c>
      <c r="L150" s="82" t="s">
        <v>393</v>
      </c>
      <c r="M150" s="82" t="s">
        <v>393</v>
      </c>
      <c r="N150" s="82" t="s">
        <v>393</v>
      </c>
      <c r="O150" s="82" t="s">
        <v>393</v>
      </c>
      <c r="P150" s="82" t="s">
        <v>393</v>
      </c>
      <c r="Q150" s="82" t="s">
        <v>393</v>
      </c>
      <c r="R150" s="82" t="s">
        <v>393</v>
      </c>
      <c r="S150" s="82" t="s">
        <v>393</v>
      </c>
      <c r="T150" s="82" t="s">
        <v>393</v>
      </c>
      <c r="U150" s="82" t="s">
        <v>393</v>
      </c>
      <c r="V150" s="82" t="s">
        <v>393</v>
      </c>
      <c r="W150" s="82" t="s">
        <v>393</v>
      </c>
      <c r="X150" s="82" t="s">
        <v>393</v>
      </c>
      <c r="Y150" s="82" t="s">
        <v>393</v>
      </c>
      <c r="Z150" s="82" t="s">
        <v>393</v>
      </c>
      <c r="AA150" s="82" t="s">
        <v>392</v>
      </c>
      <c r="AB150" s="82" t="s">
        <v>393</v>
      </c>
      <c r="AC150" s="82" t="s">
        <v>393</v>
      </c>
      <c r="AD150" s="82" t="s">
        <v>393</v>
      </c>
      <c r="AE150" s="82" t="s">
        <v>393</v>
      </c>
    </row>
    <row r="151" spans="4:31">
      <c r="J151" s="87">
        <v>1</v>
      </c>
      <c r="K151" s="96">
        <v>46011</v>
      </c>
      <c r="L151" s="86" t="s">
        <v>146</v>
      </c>
      <c r="M151" s="86" t="s">
        <v>734</v>
      </c>
      <c r="N151" s="86" t="s">
        <v>458</v>
      </c>
      <c r="O151" s="86" t="s">
        <v>745</v>
      </c>
      <c r="P151" s="86" t="s">
        <v>659</v>
      </c>
      <c r="Q151" s="86" t="s">
        <v>672</v>
      </c>
      <c r="R151" s="86" t="s">
        <v>115</v>
      </c>
      <c r="S151" s="86" t="s">
        <v>714</v>
      </c>
      <c r="T151" s="86" t="s">
        <v>112</v>
      </c>
      <c r="U151" s="86" t="s">
        <v>725</v>
      </c>
      <c r="V151" s="86" t="s">
        <v>262</v>
      </c>
      <c r="W151" s="86" t="s">
        <v>677</v>
      </c>
      <c r="X151" s="86" t="s">
        <v>661</v>
      </c>
      <c r="Y151" s="86" t="s">
        <v>817</v>
      </c>
      <c r="Z151" s="86" t="s">
        <v>845</v>
      </c>
      <c r="AA151" s="95">
        <v>46011.416666666664</v>
      </c>
      <c r="AB151" s="86" t="s">
        <v>786</v>
      </c>
      <c r="AC151" s="86" t="s">
        <v>674</v>
      </c>
      <c r="AD151" s="86" t="s">
        <v>860</v>
      </c>
      <c r="AE151" s="86" t="s">
        <v>1035</v>
      </c>
    </row>
    <row r="152" spans="4:31">
      <c r="J152" s="87">
        <v>2</v>
      </c>
      <c r="K152" s="96">
        <v>46011</v>
      </c>
      <c r="L152" s="86" t="s">
        <v>146</v>
      </c>
      <c r="M152" s="86" t="s">
        <v>734</v>
      </c>
      <c r="N152" s="86" t="s">
        <v>458</v>
      </c>
      <c r="O152" s="86" t="s">
        <v>745</v>
      </c>
      <c r="P152" s="86" t="s">
        <v>659</v>
      </c>
      <c r="Q152" s="86" t="s">
        <v>672</v>
      </c>
      <c r="R152" s="86" t="s">
        <v>115</v>
      </c>
      <c r="S152" s="86" t="s">
        <v>714</v>
      </c>
      <c r="T152" s="86" t="s">
        <v>112</v>
      </c>
      <c r="U152" s="86" t="s">
        <v>725</v>
      </c>
      <c r="V152" s="86" t="s">
        <v>262</v>
      </c>
      <c r="W152" s="86" t="s">
        <v>677</v>
      </c>
      <c r="X152" s="86" t="s">
        <v>662</v>
      </c>
      <c r="Y152" s="86" t="s">
        <v>823</v>
      </c>
      <c r="Z152" s="86" t="s">
        <v>836</v>
      </c>
      <c r="AA152" s="95">
        <v>46011.416666666664</v>
      </c>
      <c r="AB152" s="86" t="s">
        <v>786</v>
      </c>
      <c r="AC152" s="86" t="s">
        <v>674</v>
      </c>
      <c r="AD152" s="86" t="s">
        <v>860</v>
      </c>
      <c r="AE152" s="86" t="s">
        <v>1035</v>
      </c>
    </row>
    <row r="153" spans="4:31">
      <c r="J153" s="87">
        <v>3</v>
      </c>
      <c r="K153" s="96">
        <v>46011</v>
      </c>
      <c r="L153" s="86" t="s">
        <v>146</v>
      </c>
      <c r="M153" s="86" t="s">
        <v>734</v>
      </c>
      <c r="N153" s="86" t="s">
        <v>458</v>
      </c>
      <c r="O153" s="86" t="s">
        <v>745</v>
      </c>
      <c r="P153" s="86" t="s">
        <v>659</v>
      </c>
      <c r="Q153" s="86" t="s">
        <v>672</v>
      </c>
      <c r="R153" s="86" t="s">
        <v>116</v>
      </c>
      <c r="S153" s="86" t="s">
        <v>718</v>
      </c>
      <c r="T153" s="86" t="s">
        <v>261</v>
      </c>
      <c r="U153" s="86" t="s">
        <v>722</v>
      </c>
      <c r="V153" s="86" t="s">
        <v>262</v>
      </c>
      <c r="W153" s="86" t="s">
        <v>677</v>
      </c>
      <c r="X153" s="86" t="s">
        <v>661</v>
      </c>
      <c r="Y153" s="86" t="s">
        <v>817</v>
      </c>
      <c r="Z153" s="86" t="s">
        <v>848</v>
      </c>
      <c r="AA153" s="95">
        <v>46011.416666666664</v>
      </c>
      <c r="AB153" s="86" t="s">
        <v>786</v>
      </c>
      <c r="AC153" s="86" t="s">
        <v>674</v>
      </c>
      <c r="AD153" s="86" t="s">
        <v>860</v>
      </c>
      <c r="AE153" s="86" t="s">
        <v>1035</v>
      </c>
    </row>
    <row r="154" spans="4:31">
      <c r="J154" s="87">
        <v>4</v>
      </c>
      <c r="K154" s="96">
        <v>46011</v>
      </c>
      <c r="L154" s="86" t="s">
        <v>146</v>
      </c>
      <c r="M154" s="86" t="s">
        <v>734</v>
      </c>
      <c r="N154" s="86" t="s">
        <v>458</v>
      </c>
      <c r="O154" s="86" t="s">
        <v>745</v>
      </c>
      <c r="P154" s="86" t="s">
        <v>660</v>
      </c>
      <c r="Q154" s="86" t="s">
        <v>673</v>
      </c>
      <c r="R154" s="86" t="s">
        <v>114</v>
      </c>
      <c r="S154" s="86" t="s">
        <v>710</v>
      </c>
      <c r="T154" s="86" t="s">
        <v>261</v>
      </c>
      <c r="U154" s="86" t="s">
        <v>722</v>
      </c>
      <c r="V154" s="86" t="s">
        <v>262</v>
      </c>
      <c r="W154" s="86" t="s">
        <v>677</v>
      </c>
      <c r="X154" s="86" t="s">
        <v>661</v>
      </c>
      <c r="Y154" s="86" t="s">
        <v>817</v>
      </c>
      <c r="Z154" s="86" t="s">
        <v>851</v>
      </c>
      <c r="AA154" s="95">
        <v>46011.416666666664</v>
      </c>
      <c r="AB154" s="86" t="s">
        <v>786</v>
      </c>
      <c r="AC154" s="86" t="s">
        <v>674</v>
      </c>
      <c r="AD154" s="86" t="s">
        <v>860</v>
      </c>
      <c r="AE154" s="86" t="s">
        <v>1035</v>
      </c>
    </row>
    <row r="155" spans="4:31">
      <c r="J155" s="87">
        <v>5</v>
      </c>
      <c r="K155" s="96">
        <v>46011</v>
      </c>
      <c r="L155" s="86" t="s">
        <v>146</v>
      </c>
      <c r="M155" s="86" t="s">
        <v>734</v>
      </c>
      <c r="N155" s="86" t="s">
        <v>459</v>
      </c>
      <c r="O155" s="86" t="s">
        <v>748</v>
      </c>
      <c r="P155" s="86" t="s">
        <v>658</v>
      </c>
      <c r="Q155" s="86" t="s">
        <v>671</v>
      </c>
      <c r="R155" s="86" t="s">
        <v>114</v>
      </c>
      <c r="S155" s="86" t="s">
        <v>710</v>
      </c>
      <c r="T155" s="86" t="s">
        <v>261</v>
      </c>
      <c r="U155" s="86" t="s">
        <v>722</v>
      </c>
      <c r="V155" s="86" t="s">
        <v>262</v>
      </c>
      <c r="W155" s="86" t="s">
        <v>677</v>
      </c>
      <c r="X155" s="86" t="s">
        <v>661</v>
      </c>
      <c r="Y155" s="86" t="s">
        <v>817</v>
      </c>
      <c r="Z155" s="86" t="s">
        <v>854</v>
      </c>
      <c r="AA155" s="95">
        <v>46011.416666666664</v>
      </c>
      <c r="AB155" s="86" t="s">
        <v>786</v>
      </c>
      <c r="AC155" s="86" t="s">
        <v>674</v>
      </c>
      <c r="AD155" s="86" t="s">
        <v>860</v>
      </c>
      <c r="AE155" s="86" t="s">
        <v>1035</v>
      </c>
    </row>
    <row r="156" spans="4:31">
      <c r="J156" s="87">
        <v>6</v>
      </c>
      <c r="K156" s="96">
        <v>46011</v>
      </c>
      <c r="L156" s="86" t="s">
        <v>260</v>
      </c>
      <c r="M156" s="86" t="s">
        <v>737</v>
      </c>
      <c r="N156" s="86" t="s">
        <v>458</v>
      </c>
      <c r="O156" s="86" t="s">
        <v>745</v>
      </c>
      <c r="P156" s="86" t="s">
        <v>658</v>
      </c>
      <c r="Q156" s="86" t="s">
        <v>671</v>
      </c>
      <c r="R156" s="86" t="s">
        <v>114</v>
      </c>
      <c r="S156" s="86" t="s">
        <v>710</v>
      </c>
      <c r="T156" s="86" t="s">
        <v>261</v>
      </c>
      <c r="U156" s="86" t="s">
        <v>722</v>
      </c>
      <c r="V156" s="86" t="s">
        <v>262</v>
      </c>
      <c r="W156" s="86" t="s">
        <v>677</v>
      </c>
      <c r="X156" s="86" t="s">
        <v>661</v>
      </c>
      <c r="Y156" s="86" t="s">
        <v>817</v>
      </c>
      <c r="Z156" s="86" t="s">
        <v>857</v>
      </c>
      <c r="AA156" s="95">
        <v>46011.416666666664</v>
      </c>
      <c r="AB156" s="86" t="s">
        <v>786</v>
      </c>
      <c r="AC156" s="86" t="s">
        <v>675</v>
      </c>
      <c r="AD156" s="86" t="s">
        <v>867</v>
      </c>
      <c r="AE156" s="86" t="s">
        <v>1035</v>
      </c>
    </row>
    <row r="160" spans="4:31">
      <c r="D160">
        <v>6</v>
      </c>
      <c r="E160">
        <v>1</v>
      </c>
      <c r="F160" t="s">
        <v>136</v>
      </c>
      <c r="G160" t="s">
        <v>138</v>
      </c>
      <c r="H160" t="s">
        <v>344</v>
      </c>
      <c r="I160" t="s">
        <v>345</v>
      </c>
    </row>
    <row r="161" spans="4:31">
      <c r="J161" s="82" t="s">
        <v>349</v>
      </c>
      <c r="K161" s="82" t="s">
        <v>350</v>
      </c>
      <c r="L161" s="82" t="s">
        <v>351</v>
      </c>
      <c r="M161" s="82" t="s">
        <v>352</v>
      </c>
      <c r="N161" s="82" t="s">
        <v>353</v>
      </c>
      <c r="O161" s="82" t="s">
        <v>354</v>
      </c>
      <c r="P161" s="82" t="s">
        <v>355</v>
      </c>
      <c r="Q161" s="82" t="s">
        <v>356</v>
      </c>
      <c r="R161" s="82" t="s">
        <v>357</v>
      </c>
      <c r="S161" s="82" t="s">
        <v>358</v>
      </c>
      <c r="T161" s="82" t="s">
        <v>359</v>
      </c>
      <c r="U161" s="82" t="s">
        <v>360</v>
      </c>
      <c r="V161" s="82" t="s">
        <v>361</v>
      </c>
      <c r="W161" s="82" t="s">
        <v>75</v>
      </c>
      <c r="X161" s="82" t="s">
        <v>362</v>
      </c>
      <c r="Y161" s="82" t="s">
        <v>326</v>
      </c>
    </row>
    <row r="162" spans="4:31">
      <c r="J162" s="82" t="s">
        <v>370</v>
      </c>
      <c r="K162" s="82" t="s">
        <v>371</v>
      </c>
      <c r="L162" s="82" t="s">
        <v>372</v>
      </c>
      <c r="M162" s="82" t="s">
        <v>373</v>
      </c>
      <c r="N162" s="82" t="s">
        <v>374</v>
      </c>
      <c r="O162" s="82" t="s">
        <v>375</v>
      </c>
      <c r="P162" s="82" t="s">
        <v>376</v>
      </c>
      <c r="Q162" s="82" t="s">
        <v>377</v>
      </c>
      <c r="R162" s="82" t="s">
        <v>378</v>
      </c>
      <c r="S162" s="82" t="s">
        <v>379</v>
      </c>
      <c r="T162" s="82" t="s">
        <v>380</v>
      </c>
      <c r="U162" s="82" t="s">
        <v>381</v>
      </c>
      <c r="V162" s="82" t="s">
        <v>382</v>
      </c>
      <c r="W162" s="82" t="s">
        <v>383</v>
      </c>
      <c r="X162" s="82" t="s">
        <v>384</v>
      </c>
      <c r="Y162" s="82" t="s">
        <v>395</v>
      </c>
    </row>
    <row r="163" spans="4:31">
      <c r="I163" s="77"/>
      <c r="J163" s="82" t="s">
        <v>392</v>
      </c>
      <c r="K163" s="82" t="s">
        <v>393</v>
      </c>
      <c r="L163" s="82" t="s">
        <v>393</v>
      </c>
      <c r="M163" s="82" t="s">
        <v>393</v>
      </c>
      <c r="N163" s="82" t="s">
        <v>393</v>
      </c>
      <c r="O163" s="82" t="s">
        <v>393</v>
      </c>
      <c r="P163" s="82" t="s">
        <v>393</v>
      </c>
      <c r="Q163" s="82" t="s">
        <v>393</v>
      </c>
      <c r="R163" s="82" t="s">
        <v>393</v>
      </c>
      <c r="S163" s="82" t="s">
        <v>393</v>
      </c>
      <c r="T163" s="82" t="s">
        <v>393</v>
      </c>
      <c r="U163" s="82" t="s">
        <v>393</v>
      </c>
      <c r="V163" s="82" t="s">
        <v>393</v>
      </c>
      <c r="W163" s="82" t="s">
        <v>393</v>
      </c>
      <c r="X163" s="82" t="s">
        <v>393</v>
      </c>
      <c r="Y163" s="82" t="s">
        <v>393</v>
      </c>
    </row>
    <row r="164" spans="4:31">
      <c r="J164" s="107" t="s">
        <v>1012</v>
      </c>
      <c r="K164" s="65" t="s">
        <v>394</v>
      </c>
      <c r="L164" s="65" t="s">
        <v>394</v>
      </c>
      <c r="M164" s="65" t="s">
        <v>394</v>
      </c>
      <c r="N164" s="65" t="s">
        <v>394</v>
      </c>
      <c r="O164" s="65" t="s">
        <v>394</v>
      </c>
      <c r="P164" s="65" t="s">
        <v>394</v>
      </c>
      <c r="Q164" s="65" t="s">
        <v>394</v>
      </c>
      <c r="R164" s="65" t="s">
        <v>394</v>
      </c>
      <c r="S164" s="65" t="s">
        <v>394</v>
      </c>
      <c r="T164" s="65" t="s">
        <v>394</v>
      </c>
      <c r="U164" s="65" t="s">
        <v>394</v>
      </c>
      <c r="V164" s="65" t="s">
        <v>394</v>
      </c>
      <c r="W164" s="90" t="s">
        <v>1038</v>
      </c>
      <c r="X164" s="65" t="s">
        <v>394</v>
      </c>
      <c r="Y164" s="90">
        <v>9</v>
      </c>
    </row>
    <row r="168" spans="4:31">
      <c r="D168">
        <v>6</v>
      </c>
      <c r="E168">
        <v>1</v>
      </c>
      <c r="F168" t="s">
        <v>137</v>
      </c>
      <c r="G168" t="s">
        <v>138</v>
      </c>
      <c r="H168" t="s">
        <v>346</v>
      </c>
      <c r="I168" t="s">
        <v>347</v>
      </c>
    </row>
    <row r="169" spans="4:31">
      <c r="J169" s="82" t="s">
        <v>348</v>
      </c>
      <c r="K169" s="82" t="s">
        <v>349</v>
      </c>
      <c r="L169" s="82" t="s">
        <v>350</v>
      </c>
      <c r="M169" s="82" t="s">
        <v>351</v>
      </c>
      <c r="N169" s="82" t="s">
        <v>352</v>
      </c>
      <c r="O169" s="82" t="s">
        <v>353</v>
      </c>
      <c r="P169" s="82" t="s">
        <v>354</v>
      </c>
      <c r="Q169" s="82" t="s">
        <v>355</v>
      </c>
      <c r="R169" s="82" t="s">
        <v>356</v>
      </c>
      <c r="S169" s="82" t="s">
        <v>357</v>
      </c>
      <c r="T169" s="82" t="s">
        <v>358</v>
      </c>
      <c r="U169" s="82" t="s">
        <v>359</v>
      </c>
      <c r="V169" s="82" t="s">
        <v>360</v>
      </c>
      <c r="W169" s="82" t="s">
        <v>361</v>
      </c>
      <c r="X169" s="82" t="s">
        <v>75</v>
      </c>
      <c r="Y169" s="82" t="s">
        <v>362</v>
      </c>
      <c r="Z169" s="82" t="s">
        <v>363</v>
      </c>
      <c r="AA169" s="82" t="s">
        <v>364</v>
      </c>
      <c r="AB169" s="82" t="s">
        <v>365</v>
      </c>
      <c r="AC169" s="82" t="s">
        <v>366</v>
      </c>
      <c r="AD169" s="82" t="s">
        <v>367</v>
      </c>
      <c r="AE169" s="82" t="s">
        <v>368</v>
      </c>
    </row>
    <row r="170" spans="4:31">
      <c r="J170" s="82" t="s">
        <v>369</v>
      </c>
      <c r="K170" s="82" t="s">
        <v>370</v>
      </c>
      <c r="L170" s="82" t="s">
        <v>371</v>
      </c>
      <c r="M170" s="82" t="s">
        <v>372</v>
      </c>
      <c r="N170" s="82" t="s">
        <v>373</v>
      </c>
      <c r="O170" s="82" t="s">
        <v>374</v>
      </c>
      <c r="P170" s="82" t="s">
        <v>375</v>
      </c>
      <c r="Q170" s="82" t="s">
        <v>376</v>
      </c>
      <c r="R170" s="82" t="s">
        <v>377</v>
      </c>
      <c r="S170" s="82" t="s">
        <v>378</v>
      </c>
      <c r="T170" s="82" t="s">
        <v>379</v>
      </c>
      <c r="U170" s="82" t="s">
        <v>380</v>
      </c>
      <c r="V170" s="82" t="s">
        <v>381</v>
      </c>
      <c r="W170" s="82" t="s">
        <v>382</v>
      </c>
      <c r="X170" s="82" t="s">
        <v>383</v>
      </c>
      <c r="Y170" s="82" t="s">
        <v>384</v>
      </c>
      <c r="Z170" s="82" t="s">
        <v>385</v>
      </c>
      <c r="AA170" s="82" t="s">
        <v>386</v>
      </c>
      <c r="AB170" s="82" t="s">
        <v>387</v>
      </c>
      <c r="AC170" s="82" t="s">
        <v>388</v>
      </c>
      <c r="AD170" s="82" t="s">
        <v>389</v>
      </c>
      <c r="AE170" s="82" t="s">
        <v>390</v>
      </c>
    </row>
    <row r="171" spans="4:31">
      <c r="J171" s="82" t="s">
        <v>391</v>
      </c>
      <c r="K171" s="82" t="s">
        <v>392</v>
      </c>
      <c r="L171" s="82" t="s">
        <v>393</v>
      </c>
      <c r="M171" s="82" t="s">
        <v>393</v>
      </c>
      <c r="N171" s="82" t="s">
        <v>393</v>
      </c>
      <c r="O171" s="82" t="s">
        <v>393</v>
      </c>
      <c r="P171" s="82" t="s">
        <v>393</v>
      </c>
      <c r="Q171" s="82" t="s">
        <v>393</v>
      </c>
      <c r="R171" s="82" t="s">
        <v>393</v>
      </c>
      <c r="S171" s="82" t="s">
        <v>393</v>
      </c>
      <c r="T171" s="82" t="s">
        <v>393</v>
      </c>
      <c r="U171" s="82" t="s">
        <v>393</v>
      </c>
      <c r="V171" s="82" t="s">
        <v>393</v>
      </c>
      <c r="W171" s="82" t="s">
        <v>393</v>
      </c>
      <c r="X171" s="82" t="s">
        <v>393</v>
      </c>
      <c r="Y171" s="82" t="s">
        <v>393</v>
      </c>
      <c r="Z171" s="82" t="s">
        <v>393</v>
      </c>
      <c r="AA171" s="82" t="s">
        <v>392</v>
      </c>
      <c r="AB171" s="82" t="s">
        <v>393</v>
      </c>
      <c r="AC171" s="82" t="s">
        <v>393</v>
      </c>
      <c r="AD171" s="82" t="s">
        <v>393</v>
      </c>
      <c r="AE171" s="82" t="s">
        <v>393</v>
      </c>
    </row>
    <row r="172" spans="4:31">
      <c r="J172" s="87">
        <v>1</v>
      </c>
      <c r="K172" s="96">
        <v>46011</v>
      </c>
      <c r="L172" s="86" t="s">
        <v>146</v>
      </c>
      <c r="M172" s="86" t="s">
        <v>734</v>
      </c>
      <c r="N172" s="86" t="s">
        <v>458</v>
      </c>
      <c r="O172" s="86" t="s">
        <v>745</v>
      </c>
      <c r="P172" s="86" t="s">
        <v>659</v>
      </c>
      <c r="Q172" s="86" t="s">
        <v>672</v>
      </c>
      <c r="R172" s="86" t="s">
        <v>115</v>
      </c>
      <c r="S172" s="86" t="s">
        <v>714</v>
      </c>
      <c r="T172" s="86" t="s">
        <v>112</v>
      </c>
      <c r="U172" s="86" t="s">
        <v>725</v>
      </c>
      <c r="V172" s="86" t="s">
        <v>262</v>
      </c>
      <c r="W172" s="86" t="s">
        <v>677</v>
      </c>
      <c r="X172" s="86" t="s">
        <v>662</v>
      </c>
      <c r="Y172" s="86" t="s">
        <v>823</v>
      </c>
      <c r="Z172" s="86" t="s">
        <v>836</v>
      </c>
      <c r="AA172" s="95">
        <v>46011.416666666664</v>
      </c>
      <c r="AB172" s="86" t="s">
        <v>786</v>
      </c>
      <c r="AC172" s="86" t="s">
        <v>674</v>
      </c>
      <c r="AD172" s="86" t="s">
        <v>860</v>
      </c>
      <c r="AE172" s="86" t="s">
        <v>1035</v>
      </c>
    </row>
    <row r="174" spans="4:31">
      <c r="D174">
        <v>7</v>
      </c>
      <c r="E174">
        <v>1</v>
      </c>
      <c r="F174" t="s">
        <v>136</v>
      </c>
      <c r="G174" t="s">
        <v>138</v>
      </c>
      <c r="H174" t="s">
        <v>344</v>
      </c>
      <c r="I174" t="s">
        <v>345</v>
      </c>
    </row>
    <row r="175" spans="4:31">
      <c r="J175" s="82" t="s">
        <v>349</v>
      </c>
      <c r="K175" s="82" t="s">
        <v>350</v>
      </c>
      <c r="L175" s="82" t="s">
        <v>351</v>
      </c>
      <c r="M175" s="82" t="s">
        <v>352</v>
      </c>
      <c r="N175" s="82" t="s">
        <v>353</v>
      </c>
      <c r="O175" s="82" t="s">
        <v>354</v>
      </c>
      <c r="P175" s="82" t="s">
        <v>355</v>
      </c>
      <c r="Q175" s="82" t="s">
        <v>356</v>
      </c>
      <c r="R175" s="82" t="s">
        <v>357</v>
      </c>
      <c r="S175" s="82" t="s">
        <v>358</v>
      </c>
      <c r="T175" s="82" t="s">
        <v>359</v>
      </c>
      <c r="U175" s="82" t="s">
        <v>360</v>
      </c>
      <c r="V175" s="82" t="s">
        <v>361</v>
      </c>
      <c r="W175" s="82" t="s">
        <v>75</v>
      </c>
      <c r="X175" s="82" t="s">
        <v>362</v>
      </c>
      <c r="Y175" s="82" t="s">
        <v>326</v>
      </c>
    </row>
    <row r="176" spans="4:31">
      <c r="J176" s="82" t="s">
        <v>370</v>
      </c>
      <c r="K176" s="82" t="s">
        <v>371</v>
      </c>
      <c r="L176" s="82" t="s">
        <v>372</v>
      </c>
      <c r="M176" s="82" t="s">
        <v>373</v>
      </c>
      <c r="N176" s="82" t="s">
        <v>374</v>
      </c>
      <c r="O176" s="82" t="s">
        <v>375</v>
      </c>
      <c r="P176" s="82" t="s">
        <v>376</v>
      </c>
      <c r="Q176" s="82" t="s">
        <v>377</v>
      </c>
      <c r="R176" s="82" t="s">
        <v>378</v>
      </c>
      <c r="S176" s="82" t="s">
        <v>379</v>
      </c>
      <c r="T176" s="82" t="s">
        <v>380</v>
      </c>
      <c r="U176" s="82" t="s">
        <v>381</v>
      </c>
      <c r="V176" s="82" t="s">
        <v>382</v>
      </c>
      <c r="W176" s="82" t="s">
        <v>383</v>
      </c>
      <c r="X176" s="82" t="s">
        <v>384</v>
      </c>
      <c r="Y176" s="82" t="s">
        <v>395</v>
      </c>
    </row>
    <row r="177" spans="4:31">
      <c r="I177" s="77"/>
      <c r="J177" s="82" t="s">
        <v>392</v>
      </c>
      <c r="K177" s="82" t="s">
        <v>393</v>
      </c>
      <c r="L177" s="82" t="s">
        <v>393</v>
      </c>
      <c r="M177" s="82" t="s">
        <v>393</v>
      </c>
      <c r="N177" s="82" t="s">
        <v>393</v>
      </c>
      <c r="O177" s="82" t="s">
        <v>393</v>
      </c>
      <c r="P177" s="82" t="s">
        <v>393</v>
      </c>
      <c r="Q177" s="82" t="s">
        <v>393</v>
      </c>
      <c r="R177" s="82" t="s">
        <v>393</v>
      </c>
      <c r="S177" s="82" t="s">
        <v>393</v>
      </c>
      <c r="T177" s="82" t="s">
        <v>393</v>
      </c>
      <c r="U177" s="82" t="s">
        <v>393</v>
      </c>
      <c r="V177" s="82" t="s">
        <v>393</v>
      </c>
      <c r="W177" s="82" t="s">
        <v>393</v>
      </c>
      <c r="X177" s="82" t="s">
        <v>393</v>
      </c>
      <c r="Y177" s="82" t="s">
        <v>393</v>
      </c>
    </row>
    <row r="178" spans="4:31">
      <c r="J178" s="107" t="s">
        <v>1012</v>
      </c>
      <c r="K178" s="90">
        <v>2</v>
      </c>
      <c r="L178" s="65" t="s">
        <v>394</v>
      </c>
      <c r="M178" s="65" t="s">
        <v>394</v>
      </c>
      <c r="N178" s="65" t="s">
        <v>394</v>
      </c>
      <c r="O178" s="65" t="s">
        <v>394</v>
      </c>
      <c r="P178" s="65" t="s">
        <v>394</v>
      </c>
      <c r="Q178" s="65" t="s">
        <v>394</v>
      </c>
      <c r="R178" s="65" t="s">
        <v>394</v>
      </c>
      <c r="S178" s="65" t="s">
        <v>394</v>
      </c>
      <c r="T178" s="65" t="s">
        <v>394</v>
      </c>
      <c r="U178" s="65" t="s">
        <v>394</v>
      </c>
      <c r="V178" s="65" t="s">
        <v>394</v>
      </c>
      <c r="W178" s="65" t="s">
        <v>394</v>
      </c>
      <c r="X178" s="65" t="s">
        <v>394</v>
      </c>
      <c r="Y178" s="90">
        <v>9</v>
      </c>
    </row>
    <row r="182" spans="4:31">
      <c r="D182">
        <v>7</v>
      </c>
      <c r="E182">
        <v>1</v>
      </c>
      <c r="F182" t="s">
        <v>137</v>
      </c>
      <c r="G182" t="s">
        <v>138</v>
      </c>
      <c r="H182" t="s">
        <v>346</v>
      </c>
      <c r="I182" t="s">
        <v>347</v>
      </c>
    </row>
    <row r="183" spans="4:31">
      <c r="J183" s="82" t="s">
        <v>348</v>
      </c>
      <c r="K183" s="82" t="s">
        <v>349</v>
      </c>
      <c r="L183" s="82" t="s">
        <v>350</v>
      </c>
      <c r="M183" s="82" t="s">
        <v>351</v>
      </c>
      <c r="N183" s="82" t="s">
        <v>352</v>
      </c>
      <c r="O183" s="82" t="s">
        <v>353</v>
      </c>
      <c r="P183" s="82" t="s">
        <v>354</v>
      </c>
      <c r="Q183" s="82" t="s">
        <v>355</v>
      </c>
      <c r="R183" s="82" t="s">
        <v>356</v>
      </c>
      <c r="S183" s="82" t="s">
        <v>357</v>
      </c>
      <c r="T183" s="82" t="s">
        <v>358</v>
      </c>
      <c r="U183" s="82" t="s">
        <v>359</v>
      </c>
      <c r="V183" s="82" t="s">
        <v>360</v>
      </c>
      <c r="W183" s="82" t="s">
        <v>361</v>
      </c>
      <c r="X183" s="82" t="s">
        <v>75</v>
      </c>
      <c r="Y183" s="82" t="s">
        <v>362</v>
      </c>
      <c r="Z183" s="82" t="s">
        <v>363</v>
      </c>
      <c r="AA183" s="82" t="s">
        <v>364</v>
      </c>
      <c r="AB183" s="82" t="s">
        <v>365</v>
      </c>
      <c r="AC183" s="82" t="s">
        <v>366</v>
      </c>
      <c r="AD183" s="82" t="s">
        <v>367</v>
      </c>
      <c r="AE183" s="82" t="s">
        <v>368</v>
      </c>
    </row>
    <row r="184" spans="4:31">
      <c r="J184" s="82" t="s">
        <v>369</v>
      </c>
      <c r="K184" s="82" t="s">
        <v>370</v>
      </c>
      <c r="L184" s="82" t="s">
        <v>371</v>
      </c>
      <c r="M184" s="82" t="s">
        <v>372</v>
      </c>
      <c r="N184" s="82" t="s">
        <v>373</v>
      </c>
      <c r="O184" s="82" t="s">
        <v>374</v>
      </c>
      <c r="P184" s="82" t="s">
        <v>375</v>
      </c>
      <c r="Q184" s="82" t="s">
        <v>376</v>
      </c>
      <c r="R184" s="82" t="s">
        <v>377</v>
      </c>
      <c r="S184" s="82" t="s">
        <v>378</v>
      </c>
      <c r="T184" s="82" t="s">
        <v>379</v>
      </c>
      <c r="U184" s="82" t="s">
        <v>380</v>
      </c>
      <c r="V184" s="82" t="s">
        <v>381</v>
      </c>
      <c r="W184" s="82" t="s">
        <v>382</v>
      </c>
      <c r="X184" s="82" t="s">
        <v>383</v>
      </c>
      <c r="Y184" s="82" t="s">
        <v>384</v>
      </c>
      <c r="Z184" s="82" t="s">
        <v>385</v>
      </c>
      <c r="AA184" s="82" t="s">
        <v>386</v>
      </c>
      <c r="AB184" s="82" t="s">
        <v>387</v>
      </c>
      <c r="AC184" s="82" t="s">
        <v>388</v>
      </c>
      <c r="AD184" s="82" t="s">
        <v>389</v>
      </c>
      <c r="AE184" s="82" t="s">
        <v>390</v>
      </c>
    </row>
    <row r="185" spans="4:31">
      <c r="J185" s="82" t="s">
        <v>391</v>
      </c>
      <c r="K185" s="82" t="s">
        <v>392</v>
      </c>
      <c r="L185" s="82" t="s">
        <v>393</v>
      </c>
      <c r="M185" s="82" t="s">
        <v>393</v>
      </c>
      <c r="N185" s="82" t="s">
        <v>393</v>
      </c>
      <c r="O185" s="82" t="s">
        <v>393</v>
      </c>
      <c r="P185" s="82" t="s">
        <v>393</v>
      </c>
      <c r="Q185" s="82" t="s">
        <v>393</v>
      </c>
      <c r="R185" s="82" t="s">
        <v>393</v>
      </c>
      <c r="S185" s="82" t="s">
        <v>393</v>
      </c>
      <c r="T185" s="82" t="s">
        <v>393</v>
      </c>
      <c r="U185" s="82" t="s">
        <v>393</v>
      </c>
      <c r="V185" s="82" t="s">
        <v>393</v>
      </c>
      <c r="W185" s="82" t="s">
        <v>393</v>
      </c>
      <c r="X185" s="82" t="s">
        <v>393</v>
      </c>
      <c r="Y185" s="82" t="s">
        <v>393</v>
      </c>
      <c r="Z185" s="82" t="s">
        <v>393</v>
      </c>
      <c r="AA185" s="82" t="s">
        <v>392</v>
      </c>
      <c r="AB185" s="82" t="s">
        <v>393</v>
      </c>
      <c r="AC185" s="82" t="s">
        <v>393</v>
      </c>
      <c r="AD185" s="82" t="s">
        <v>393</v>
      </c>
      <c r="AE185" s="82" t="s">
        <v>393</v>
      </c>
    </row>
    <row r="186" spans="4:31">
      <c r="J186" s="87">
        <v>1</v>
      </c>
      <c r="K186" s="96">
        <v>46011</v>
      </c>
      <c r="L186" s="86" t="s">
        <v>260</v>
      </c>
      <c r="M186" s="86" t="s">
        <v>737</v>
      </c>
      <c r="N186" s="86" t="s">
        <v>458</v>
      </c>
      <c r="O186" s="86" t="s">
        <v>745</v>
      </c>
      <c r="P186" s="86" t="s">
        <v>658</v>
      </c>
      <c r="Q186" s="86" t="s">
        <v>671</v>
      </c>
      <c r="R186" s="86" t="s">
        <v>114</v>
      </c>
      <c r="S186" s="86" t="s">
        <v>710</v>
      </c>
      <c r="T186" s="86" t="s">
        <v>261</v>
      </c>
      <c r="U186" s="86" t="s">
        <v>722</v>
      </c>
      <c r="V186" s="86" t="s">
        <v>262</v>
      </c>
      <c r="W186" s="86" t="s">
        <v>677</v>
      </c>
      <c r="X186" s="86" t="s">
        <v>661</v>
      </c>
      <c r="Y186" s="86" t="s">
        <v>817</v>
      </c>
      <c r="Z186" s="86" t="s">
        <v>857</v>
      </c>
      <c r="AA186" s="95">
        <v>46011.416666666664</v>
      </c>
      <c r="AB186" s="86" t="s">
        <v>786</v>
      </c>
      <c r="AC186" s="86" t="s">
        <v>675</v>
      </c>
      <c r="AD186" s="86" t="s">
        <v>867</v>
      </c>
      <c r="AE186" s="86" t="s">
        <v>1035</v>
      </c>
    </row>
    <row r="188" spans="4:31">
      <c r="D188">
        <v>8</v>
      </c>
      <c r="E188">
        <v>1</v>
      </c>
      <c r="F188" t="s">
        <v>136</v>
      </c>
      <c r="G188" t="s">
        <v>138</v>
      </c>
      <c r="H188" t="s">
        <v>344</v>
      </c>
      <c r="I188" t="s">
        <v>345</v>
      </c>
    </row>
    <row r="189" spans="4:31">
      <c r="J189" s="82" t="s">
        <v>349</v>
      </c>
      <c r="K189" s="82" t="s">
        <v>350</v>
      </c>
      <c r="L189" s="82" t="s">
        <v>351</v>
      </c>
      <c r="M189" s="82" t="s">
        <v>352</v>
      </c>
      <c r="N189" s="82" t="s">
        <v>353</v>
      </c>
      <c r="O189" s="82" t="s">
        <v>354</v>
      </c>
      <c r="P189" s="82" t="s">
        <v>355</v>
      </c>
      <c r="Q189" s="82" t="s">
        <v>356</v>
      </c>
      <c r="R189" s="82" t="s">
        <v>357</v>
      </c>
      <c r="S189" s="82" t="s">
        <v>358</v>
      </c>
      <c r="T189" s="82" t="s">
        <v>359</v>
      </c>
      <c r="U189" s="82" t="s">
        <v>360</v>
      </c>
      <c r="V189" s="82" t="s">
        <v>361</v>
      </c>
      <c r="W189" s="82" t="s">
        <v>75</v>
      </c>
      <c r="X189" s="82" t="s">
        <v>362</v>
      </c>
      <c r="Y189" s="82" t="s">
        <v>326</v>
      </c>
    </row>
    <row r="190" spans="4:31">
      <c r="J190" s="82" t="s">
        <v>370</v>
      </c>
      <c r="K190" s="82" t="s">
        <v>371</v>
      </c>
      <c r="L190" s="82" t="s">
        <v>372</v>
      </c>
      <c r="M190" s="82" t="s">
        <v>373</v>
      </c>
      <c r="N190" s="82" t="s">
        <v>374</v>
      </c>
      <c r="O190" s="82" t="s">
        <v>375</v>
      </c>
      <c r="P190" s="82" t="s">
        <v>376</v>
      </c>
      <c r="Q190" s="82" t="s">
        <v>377</v>
      </c>
      <c r="R190" s="82" t="s">
        <v>378</v>
      </c>
      <c r="S190" s="82" t="s">
        <v>379</v>
      </c>
      <c r="T190" s="82" t="s">
        <v>380</v>
      </c>
      <c r="U190" s="82" t="s">
        <v>381</v>
      </c>
      <c r="V190" s="82" t="s">
        <v>382</v>
      </c>
      <c r="W190" s="82" t="s">
        <v>383</v>
      </c>
      <c r="X190" s="82" t="s">
        <v>384</v>
      </c>
      <c r="Y190" s="82" t="s">
        <v>395</v>
      </c>
    </row>
    <row r="191" spans="4:31">
      <c r="I191" s="77"/>
      <c r="J191" s="82" t="s">
        <v>392</v>
      </c>
      <c r="K191" s="82" t="s">
        <v>393</v>
      </c>
      <c r="L191" s="82" t="s">
        <v>393</v>
      </c>
      <c r="M191" s="82" t="s">
        <v>393</v>
      </c>
      <c r="N191" s="82" t="s">
        <v>393</v>
      </c>
      <c r="O191" s="82" t="s">
        <v>393</v>
      </c>
      <c r="P191" s="82" t="s">
        <v>393</v>
      </c>
      <c r="Q191" s="82" t="s">
        <v>393</v>
      </c>
      <c r="R191" s="82" t="s">
        <v>393</v>
      </c>
      <c r="S191" s="82" t="s">
        <v>393</v>
      </c>
      <c r="T191" s="82" t="s">
        <v>393</v>
      </c>
      <c r="U191" s="82" t="s">
        <v>393</v>
      </c>
      <c r="V191" s="82" t="s">
        <v>393</v>
      </c>
      <c r="W191" s="82" t="s">
        <v>393</v>
      </c>
      <c r="X191" s="82" t="s">
        <v>393</v>
      </c>
      <c r="Y191" s="82" t="s">
        <v>393</v>
      </c>
    </row>
    <row r="192" spans="4:31">
      <c r="J192" s="107" t="s">
        <v>1012</v>
      </c>
      <c r="K192" s="90">
        <v>1</v>
      </c>
      <c r="L192" s="65" t="s">
        <v>394</v>
      </c>
      <c r="M192" s="110" t="s">
        <v>458</v>
      </c>
      <c r="N192" s="65" t="s">
        <v>394</v>
      </c>
      <c r="O192" s="110" t="s">
        <v>659</v>
      </c>
      <c r="P192" s="65" t="s">
        <v>394</v>
      </c>
      <c r="Q192" s="110" t="s">
        <v>116</v>
      </c>
      <c r="R192" s="65" t="s">
        <v>394</v>
      </c>
      <c r="S192" s="110" t="s">
        <v>261</v>
      </c>
      <c r="T192" s="65" t="s">
        <v>394</v>
      </c>
      <c r="U192" s="110" t="s">
        <v>262</v>
      </c>
      <c r="V192" s="65" t="s">
        <v>394</v>
      </c>
      <c r="W192" s="110" t="s">
        <v>661</v>
      </c>
      <c r="X192" s="65" t="s">
        <v>394</v>
      </c>
      <c r="Y192" s="90">
        <v>9</v>
      </c>
    </row>
    <row r="196" spans="4:31">
      <c r="D196">
        <v>8</v>
      </c>
      <c r="E196">
        <v>1</v>
      </c>
      <c r="F196" t="s">
        <v>137</v>
      </c>
      <c r="G196" t="s">
        <v>138</v>
      </c>
      <c r="H196" t="s">
        <v>346</v>
      </c>
      <c r="I196" t="s">
        <v>347</v>
      </c>
    </row>
    <row r="197" spans="4:31">
      <c r="J197" s="82" t="s">
        <v>348</v>
      </c>
      <c r="K197" s="82" t="s">
        <v>349</v>
      </c>
      <c r="L197" s="82" t="s">
        <v>350</v>
      </c>
      <c r="M197" s="82" t="s">
        <v>351</v>
      </c>
      <c r="N197" s="82" t="s">
        <v>352</v>
      </c>
      <c r="O197" s="82" t="s">
        <v>353</v>
      </c>
      <c r="P197" s="82" t="s">
        <v>354</v>
      </c>
      <c r="Q197" s="82" t="s">
        <v>355</v>
      </c>
      <c r="R197" s="82" t="s">
        <v>356</v>
      </c>
      <c r="S197" s="82" t="s">
        <v>357</v>
      </c>
      <c r="T197" s="82" t="s">
        <v>358</v>
      </c>
      <c r="U197" s="82" t="s">
        <v>359</v>
      </c>
      <c r="V197" s="82" t="s">
        <v>360</v>
      </c>
      <c r="W197" s="82" t="s">
        <v>361</v>
      </c>
      <c r="X197" s="82" t="s">
        <v>75</v>
      </c>
      <c r="Y197" s="82" t="s">
        <v>362</v>
      </c>
      <c r="Z197" s="82" t="s">
        <v>363</v>
      </c>
      <c r="AA197" s="82" t="s">
        <v>364</v>
      </c>
      <c r="AB197" s="82" t="s">
        <v>365</v>
      </c>
      <c r="AC197" s="82" t="s">
        <v>366</v>
      </c>
      <c r="AD197" s="82" t="s">
        <v>367</v>
      </c>
      <c r="AE197" s="82" t="s">
        <v>368</v>
      </c>
    </row>
    <row r="198" spans="4:31">
      <c r="J198" s="82" t="s">
        <v>369</v>
      </c>
      <c r="K198" s="82" t="s">
        <v>370</v>
      </c>
      <c r="L198" s="82" t="s">
        <v>371</v>
      </c>
      <c r="M198" s="82" t="s">
        <v>372</v>
      </c>
      <c r="N198" s="82" t="s">
        <v>373</v>
      </c>
      <c r="O198" s="82" t="s">
        <v>374</v>
      </c>
      <c r="P198" s="82" t="s">
        <v>375</v>
      </c>
      <c r="Q198" s="82" t="s">
        <v>376</v>
      </c>
      <c r="R198" s="82" t="s">
        <v>377</v>
      </c>
      <c r="S198" s="82" t="s">
        <v>378</v>
      </c>
      <c r="T198" s="82" t="s">
        <v>379</v>
      </c>
      <c r="U198" s="82" t="s">
        <v>380</v>
      </c>
      <c r="V198" s="82" t="s">
        <v>381</v>
      </c>
      <c r="W198" s="82" t="s">
        <v>382</v>
      </c>
      <c r="X198" s="82" t="s">
        <v>383</v>
      </c>
      <c r="Y198" s="82" t="s">
        <v>384</v>
      </c>
      <c r="Z198" s="82" t="s">
        <v>385</v>
      </c>
      <c r="AA198" s="82" t="s">
        <v>386</v>
      </c>
      <c r="AB198" s="82" t="s">
        <v>387</v>
      </c>
      <c r="AC198" s="82" t="s">
        <v>388</v>
      </c>
      <c r="AD198" s="82" t="s">
        <v>389</v>
      </c>
      <c r="AE198" s="82" t="s">
        <v>390</v>
      </c>
    </row>
    <row r="199" spans="4:31">
      <c r="J199" s="82" t="s">
        <v>391</v>
      </c>
      <c r="K199" s="82" t="s">
        <v>392</v>
      </c>
      <c r="L199" s="82" t="s">
        <v>393</v>
      </c>
      <c r="M199" s="82" t="s">
        <v>393</v>
      </c>
      <c r="N199" s="82" t="s">
        <v>393</v>
      </c>
      <c r="O199" s="82" t="s">
        <v>393</v>
      </c>
      <c r="P199" s="82" t="s">
        <v>393</v>
      </c>
      <c r="Q199" s="82" t="s">
        <v>393</v>
      </c>
      <c r="R199" s="82" t="s">
        <v>393</v>
      </c>
      <c r="S199" s="82" t="s">
        <v>393</v>
      </c>
      <c r="T199" s="82" t="s">
        <v>393</v>
      </c>
      <c r="U199" s="82" t="s">
        <v>393</v>
      </c>
      <c r="V199" s="82" t="s">
        <v>393</v>
      </c>
      <c r="W199" s="82" t="s">
        <v>393</v>
      </c>
      <c r="X199" s="82" t="s">
        <v>393</v>
      </c>
      <c r="Y199" s="82" t="s">
        <v>393</v>
      </c>
      <c r="Z199" s="82" t="s">
        <v>393</v>
      </c>
      <c r="AA199" s="82" t="s">
        <v>392</v>
      </c>
      <c r="AB199" s="82" t="s">
        <v>393</v>
      </c>
      <c r="AC199" s="82" t="s">
        <v>393</v>
      </c>
      <c r="AD199" s="82" t="s">
        <v>393</v>
      </c>
      <c r="AE199" s="82" t="s">
        <v>393</v>
      </c>
    </row>
    <row r="200" spans="4:31">
      <c r="J200" s="87">
        <v>1</v>
      </c>
      <c r="K200" s="96">
        <v>46011</v>
      </c>
      <c r="L200" s="86" t="s">
        <v>146</v>
      </c>
      <c r="M200" s="86" t="s">
        <v>734</v>
      </c>
      <c r="N200" s="86" t="s">
        <v>458</v>
      </c>
      <c r="O200" s="86" t="s">
        <v>745</v>
      </c>
      <c r="P200" s="86" t="s">
        <v>659</v>
      </c>
      <c r="Q200" s="86" t="s">
        <v>672</v>
      </c>
      <c r="R200" s="86" t="s">
        <v>116</v>
      </c>
      <c r="S200" s="86" t="s">
        <v>718</v>
      </c>
      <c r="T200" s="86" t="s">
        <v>261</v>
      </c>
      <c r="U200" s="86" t="s">
        <v>722</v>
      </c>
      <c r="V200" s="86" t="s">
        <v>262</v>
      </c>
      <c r="W200" s="86" t="s">
        <v>677</v>
      </c>
      <c r="X200" s="86" t="s">
        <v>661</v>
      </c>
      <c r="Y200" s="86" t="s">
        <v>817</v>
      </c>
      <c r="Z200" s="86" t="s">
        <v>848</v>
      </c>
      <c r="AA200" s="95">
        <v>46011.416666666664</v>
      </c>
      <c r="AB200" s="86" t="s">
        <v>786</v>
      </c>
      <c r="AC200" s="86" t="s">
        <v>674</v>
      </c>
      <c r="AD200" s="86" t="s">
        <v>860</v>
      </c>
      <c r="AE200" s="86" t="s">
        <v>1035</v>
      </c>
    </row>
    <row r="202" spans="4:31">
      <c r="D202">
        <v>9</v>
      </c>
      <c r="E202">
        <v>1</v>
      </c>
      <c r="F202" t="s">
        <v>136</v>
      </c>
      <c r="G202" t="s">
        <v>138</v>
      </c>
      <c r="H202" t="s">
        <v>344</v>
      </c>
      <c r="I202" t="s">
        <v>345</v>
      </c>
    </row>
    <row r="203" spans="4:31">
      <c r="J203" s="82" t="s">
        <v>349</v>
      </c>
      <c r="K203" s="82" t="s">
        <v>350</v>
      </c>
      <c r="L203" s="82" t="s">
        <v>351</v>
      </c>
      <c r="M203" s="82" t="s">
        <v>352</v>
      </c>
      <c r="N203" s="82" t="s">
        <v>353</v>
      </c>
      <c r="O203" s="82" t="s">
        <v>354</v>
      </c>
      <c r="P203" s="82" t="s">
        <v>355</v>
      </c>
      <c r="Q203" s="82" t="s">
        <v>356</v>
      </c>
      <c r="R203" s="82" t="s">
        <v>357</v>
      </c>
      <c r="S203" s="82" t="s">
        <v>358</v>
      </c>
      <c r="T203" s="82" t="s">
        <v>359</v>
      </c>
      <c r="U203" s="82" t="s">
        <v>360</v>
      </c>
      <c r="V203" s="82" t="s">
        <v>361</v>
      </c>
      <c r="W203" s="82" t="s">
        <v>75</v>
      </c>
      <c r="X203" s="82" t="s">
        <v>362</v>
      </c>
      <c r="Y203" s="82" t="s">
        <v>326</v>
      </c>
    </row>
    <row r="204" spans="4:31">
      <c r="J204" s="82" t="s">
        <v>370</v>
      </c>
      <c r="K204" s="82" t="s">
        <v>371</v>
      </c>
      <c r="L204" s="82" t="s">
        <v>372</v>
      </c>
      <c r="M204" s="82" t="s">
        <v>373</v>
      </c>
      <c r="N204" s="82" t="s">
        <v>374</v>
      </c>
      <c r="O204" s="82" t="s">
        <v>375</v>
      </c>
      <c r="P204" s="82" t="s">
        <v>376</v>
      </c>
      <c r="Q204" s="82" t="s">
        <v>377</v>
      </c>
      <c r="R204" s="82" t="s">
        <v>378</v>
      </c>
      <c r="S204" s="82" t="s">
        <v>379</v>
      </c>
      <c r="T204" s="82" t="s">
        <v>380</v>
      </c>
      <c r="U204" s="82" t="s">
        <v>381</v>
      </c>
      <c r="V204" s="82" t="s">
        <v>382</v>
      </c>
      <c r="W204" s="82" t="s">
        <v>383</v>
      </c>
      <c r="X204" s="82" t="s">
        <v>384</v>
      </c>
      <c r="Y204" s="82" t="s">
        <v>395</v>
      </c>
    </row>
    <row r="205" spans="4:31">
      <c r="I205" s="77"/>
      <c r="J205" s="82" t="s">
        <v>392</v>
      </c>
      <c r="K205" s="82" t="s">
        <v>393</v>
      </c>
      <c r="L205" s="82" t="s">
        <v>393</v>
      </c>
      <c r="M205" s="82" t="s">
        <v>393</v>
      </c>
      <c r="N205" s="82" t="s">
        <v>393</v>
      </c>
      <c r="O205" s="82" t="s">
        <v>393</v>
      </c>
      <c r="P205" s="82" t="s">
        <v>393</v>
      </c>
      <c r="Q205" s="82" t="s">
        <v>393</v>
      </c>
      <c r="R205" s="82" t="s">
        <v>393</v>
      </c>
      <c r="S205" s="82" t="s">
        <v>393</v>
      </c>
      <c r="T205" s="82" t="s">
        <v>393</v>
      </c>
      <c r="U205" s="82" t="s">
        <v>393</v>
      </c>
      <c r="V205" s="82" t="s">
        <v>393</v>
      </c>
      <c r="W205" s="82" t="s">
        <v>393</v>
      </c>
      <c r="X205" s="82" t="s">
        <v>393</v>
      </c>
      <c r="Y205" s="82" t="s">
        <v>393</v>
      </c>
    </row>
    <row r="206" spans="4:31">
      <c r="J206" s="107" t="s">
        <v>1012</v>
      </c>
      <c r="K206" s="65" t="s">
        <v>394</v>
      </c>
      <c r="L206" s="65" t="s">
        <v>394</v>
      </c>
      <c r="M206" s="65" t="s">
        <v>394</v>
      </c>
      <c r="N206" s="65" t="s">
        <v>394</v>
      </c>
      <c r="O206" s="65" t="s">
        <v>394</v>
      </c>
      <c r="P206" s="65" t="s">
        <v>394</v>
      </c>
      <c r="Q206" s="65" t="s">
        <v>394</v>
      </c>
      <c r="R206" s="65" t="s">
        <v>394</v>
      </c>
      <c r="S206" s="65" t="s">
        <v>394</v>
      </c>
      <c r="T206" s="65" t="s">
        <v>394</v>
      </c>
      <c r="U206" s="65" t="s">
        <v>394</v>
      </c>
      <c r="V206" s="65" t="s">
        <v>394</v>
      </c>
      <c r="W206" s="65" t="s">
        <v>394</v>
      </c>
      <c r="X206" s="65" t="s">
        <v>394</v>
      </c>
      <c r="Y206" s="90">
        <v>9</v>
      </c>
    </row>
    <row r="207" spans="4:31" ht="14.25" customHeight="1"/>
    <row r="210" spans="4:31">
      <c r="D210">
        <v>9</v>
      </c>
      <c r="E210">
        <v>1</v>
      </c>
      <c r="F210" t="s">
        <v>137</v>
      </c>
      <c r="G210" t="s">
        <v>138</v>
      </c>
      <c r="H210" t="s">
        <v>346</v>
      </c>
      <c r="I210" t="s">
        <v>347</v>
      </c>
    </row>
    <row r="211" spans="4:31">
      <c r="J211" s="82" t="s">
        <v>348</v>
      </c>
      <c r="K211" s="82" t="s">
        <v>349</v>
      </c>
      <c r="L211" s="82" t="s">
        <v>350</v>
      </c>
      <c r="M211" s="82" t="s">
        <v>351</v>
      </c>
      <c r="N211" s="82" t="s">
        <v>352</v>
      </c>
      <c r="O211" s="82" t="s">
        <v>353</v>
      </c>
      <c r="P211" s="82" t="s">
        <v>354</v>
      </c>
      <c r="Q211" s="82" t="s">
        <v>355</v>
      </c>
      <c r="R211" s="82" t="s">
        <v>356</v>
      </c>
      <c r="S211" s="82" t="s">
        <v>357</v>
      </c>
      <c r="T211" s="82" t="s">
        <v>358</v>
      </c>
      <c r="U211" s="82" t="s">
        <v>359</v>
      </c>
      <c r="V211" s="82" t="s">
        <v>360</v>
      </c>
      <c r="W211" s="82" t="s">
        <v>361</v>
      </c>
      <c r="X211" s="82" t="s">
        <v>75</v>
      </c>
      <c r="Y211" s="82" t="s">
        <v>362</v>
      </c>
      <c r="Z211" s="82" t="s">
        <v>363</v>
      </c>
      <c r="AA211" s="82" t="s">
        <v>364</v>
      </c>
      <c r="AB211" s="82" t="s">
        <v>365</v>
      </c>
      <c r="AC211" s="82" t="s">
        <v>366</v>
      </c>
      <c r="AD211" s="82" t="s">
        <v>367</v>
      </c>
      <c r="AE211" s="82" t="s">
        <v>368</v>
      </c>
    </row>
    <row r="212" spans="4:31">
      <c r="J212" s="82" t="s">
        <v>369</v>
      </c>
      <c r="K212" s="82" t="s">
        <v>370</v>
      </c>
      <c r="L212" s="82" t="s">
        <v>371</v>
      </c>
      <c r="M212" s="82" t="s">
        <v>372</v>
      </c>
      <c r="N212" s="82" t="s">
        <v>373</v>
      </c>
      <c r="O212" s="82" t="s">
        <v>374</v>
      </c>
      <c r="P212" s="82" t="s">
        <v>375</v>
      </c>
      <c r="Q212" s="82" t="s">
        <v>376</v>
      </c>
      <c r="R212" s="82" t="s">
        <v>377</v>
      </c>
      <c r="S212" s="82" t="s">
        <v>378</v>
      </c>
      <c r="T212" s="82" t="s">
        <v>379</v>
      </c>
      <c r="U212" s="82" t="s">
        <v>380</v>
      </c>
      <c r="V212" s="82" t="s">
        <v>381</v>
      </c>
      <c r="W212" s="82" t="s">
        <v>382</v>
      </c>
      <c r="X212" s="82" t="s">
        <v>383</v>
      </c>
      <c r="Y212" s="82" t="s">
        <v>384</v>
      </c>
      <c r="Z212" s="82" t="s">
        <v>385</v>
      </c>
      <c r="AA212" s="82" t="s">
        <v>386</v>
      </c>
      <c r="AB212" s="82" t="s">
        <v>387</v>
      </c>
      <c r="AC212" s="82" t="s">
        <v>388</v>
      </c>
      <c r="AD212" s="82" t="s">
        <v>389</v>
      </c>
      <c r="AE212" s="82" t="s">
        <v>390</v>
      </c>
    </row>
    <row r="213" spans="4:31">
      <c r="J213" s="82" t="s">
        <v>391</v>
      </c>
      <c r="K213" s="82" t="s">
        <v>392</v>
      </c>
      <c r="L213" s="82" t="s">
        <v>393</v>
      </c>
      <c r="M213" s="82" t="s">
        <v>393</v>
      </c>
      <c r="N213" s="82" t="s">
        <v>393</v>
      </c>
      <c r="O213" s="82" t="s">
        <v>393</v>
      </c>
      <c r="P213" s="82" t="s">
        <v>393</v>
      </c>
      <c r="Q213" s="82" t="s">
        <v>393</v>
      </c>
      <c r="R213" s="82" t="s">
        <v>393</v>
      </c>
      <c r="S213" s="82" t="s">
        <v>393</v>
      </c>
      <c r="T213" s="82" t="s">
        <v>393</v>
      </c>
      <c r="U213" s="82" t="s">
        <v>393</v>
      </c>
      <c r="V213" s="82" t="s">
        <v>393</v>
      </c>
      <c r="W213" s="82" t="s">
        <v>393</v>
      </c>
      <c r="X213" s="82" t="s">
        <v>393</v>
      </c>
      <c r="Y213" s="82" t="s">
        <v>393</v>
      </c>
      <c r="Z213" s="82" t="s">
        <v>393</v>
      </c>
      <c r="AA213" s="82" t="s">
        <v>392</v>
      </c>
      <c r="AB213" s="82" t="s">
        <v>393</v>
      </c>
      <c r="AC213" s="82" t="s">
        <v>393</v>
      </c>
      <c r="AD213" s="82" t="s">
        <v>393</v>
      </c>
      <c r="AE213" s="82" t="s">
        <v>393</v>
      </c>
    </row>
    <row r="214" spans="4:31">
      <c r="J214" s="87">
        <v>1</v>
      </c>
      <c r="K214" s="96">
        <v>46011</v>
      </c>
      <c r="L214" s="86" t="s">
        <v>146</v>
      </c>
      <c r="M214" s="86" t="s">
        <v>734</v>
      </c>
      <c r="N214" s="86" t="s">
        <v>458</v>
      </c>
      <c r="O214" s="86" t="s">
        <v>745</v>
      </c>
      <c r="P214" s="86" t="s">
        <v>659</v>
      </c>
      <c r="Q214" s="86" t="s">
        <v>672</v>
      </c>
      <c r="R214" s="86" t="s">
        <v>115</v>
      </c>
      <c r="S214" s="86" t="s">
        <v>714</v>
      </c>
      <c r="T214" s="86" t="s">
        <v>112</v>
      </c>
      <c r="U214" s="86" t="s">
        <v>725</v>
      </c>
      <c r="V214" s="86" t="s">
        <v>262</v>
      </c>
      <c r="W214" s="86" t="s">
        <v>677</v>
      </c>
      <c r="X214" s="86" t="s">
        <v>661</v>
      </c>
      <c r="Y214" s="86" t="s">
        <v>817</v>
      </c>
      <c r="Z214" s="86" t="s">
        <v>845</v>
      </c>
      <c r="AA214" s="95">
        <v>46011.416666666664</v>
      </c>
      <c r="AB214" s="86" t="s">
        <v>786</v>
      </c>
      <c r="AC214" s="86" t="s">
        <v>674</v>
      </c>
      <c r="AD214" s="86" t="s">
        <v>860</v>
      </c>
      <c r="AE214" s="86" t="s">
        <v>1035</v>
      </c>
    </row>
    <row r="215" spans="4:31">
      <c r="J215" s="87">
        <v>2</v>
      </c>
      <c r="K215" s="96">
        <v>46011</v>
      </c>
      <c r="L215" s="86" t="s">
        <v>146</v>
      </c>
      <c r="M215" s="86" t="s">
        <v>734</v>
      </c>
      <c r="N215" s="86" t="s">
        <v>458</v>
      </c>
      <c r="O215" s="86" t="s">
        <v>745</v>
      </c>
      <c r="P215" s="86" t="s">
        <v>659</v>
      </c>
      <c r="Q215" s="86" t="s">
        <v>672</v>
      </c>
      <c r="R215" s="86" t="s">
        <v>115</v>
      </c>
      <c r="S215" s="86" t="s">
        <v>714</v>
      </c>
      <c r="T215" s="86" t="s">
        <v>112</v>
      </c>
      <c r="U215" s="86" t="s">
        <v>725</v>
      </c>
      <c r="V215" s="86" t="s">
        <v>262</v>
      </c>
      <c r="W215" s="86" t="s">
        <v>677</v>
      </c>
      <c r="X215" s="86" t="s">
        <v>662</v>
      </c>
      <c r="Y215" s="86" t="s">
        <v>823</v>
      </c>
      <c r="Z215" s="86" t="s">
        <v>836</v>
      </c>
      <c r="AA215" s="95">
        <v>46011.416666666664</v>
      </c>
      <c r="AB215" s="86" t="s">
        <v>786</v>
      </c>
      <c r="AC215" s="86" t="s">
        <v>674</v>
      </c>
      <c r="AD215" s="86" t="s">
        <v>860</v>
      </c>
      <c r="AE215" s="86" t="s">
        <v>1035</v>
      </c>
    </row>
    <row r="216" spans="4:31">
      <c r="J216" s="87">
        <v>3</v>
      </c>
      <c r="K216" s="96">
        <v>46011</v>
      </c>
      <c r="L216" s="86" t="s">
        <v>146</v>
      </c>
      <c r="M216" s="86" t="s">
        <v>734</v>
      </c>
      <c r="N216" s="86" t="s">
        <v>458</v>
      </c>
      <c r="O216" s="86" t="s">
        <v>745</v>
      </c>
      <c r="P216" s="86" t="s">
        <v>659</v>
      </c>
      <c r="Q216" s="86" t="s">
        <v>672</v>
      </c>
      <c r="R216" s="86" t="s">
        <v>115</v>
      </c>
      <c r="S216" s="86" t="s">
        <v>714</v>
      </c>
      <c r="T216" s="86" t="s">
        <v>112</v>
      </c>
      <c r="U216" s="86" t="s">
        <v>725</v>
      </c>
      <c r="V216" s="86" t="s">
        <v>457</v>
      </c>
      <c r="W216" s="86" t="s">
        <v>678</v>
      </c>
      <c r="X216" s="86" t="s">
        <v>664</v>
      </c>
      <c r="Y216" s="86" t="s">
        <v>829</v>
      </c>
      <c r="Z216" s="86" t="s">
        <v>839</v>
      </c>
      <c r="AA216" s="95">
        <v>46011.416666666664</v>
      </c>
      <c r="AB216" s="86" t="s">
        <v>786</v>
      </c>
      <c r="AC216" s="86" t="s">
        <v>674</v>
      </c>
      <c r="AD216" s="86" t="s">
        <v>860</v>
      </c>
      <c r="AE216" s="86" t="s">
        <v>1035</v>
      </c>
    </row>
    <row r="217" spans="4:31">
      <c r="J217" s="87">
        <v>4</v>
      </c>
      <c r="K217" s="96">
        <v>46011</v>
      </c>
      <c r="L217" s="86" t="s">
        <v>146</v>
      </c>
      <c r="M217" s="86" t="s">
        <v>734</v>
      </c>
      <c r="N217" s="86" t="s">
        <v>458</v>
      </c>
      <c r="O217" s="86" t="s">
        <v>745</v>
      </c>
      <c r="P217" s="86" t="s">
        <v>659</v>
      </c>
      <c r="Q217" s="86" t="s">
        <v>672</v>
      </c>
      <c r="R217" s="86" t="s">
        <v>115</v>
      </c>
      <c r="S217" s="86" t="s">
        <v>714</v>
      </c>
      <c r="T217" s="86" t="s">
        <v>113</v>
      </c>
      <c r="U217" s="86" t="s">
        <v>728</v>
      </c>
      <c r="V217" s="86" t="s">
        <v>458</v>
      </c>
      <c r="W217" s="86" t="s">
        <v>679</v>
      </c>
      <c r="X217" s="86" t="s">
        <v>661</v>
      </c>
      <c r="Y217" s="86" t="s">
        <v>817</v>
      </c>
      <c r="Z217" s="86" t="s">
        <v>842</v>
      </c>
      <c r="AA217" s="95">
        <v>46011.416666666664</v>
      </c>
      <c r="AB217" s="86" t="s">
        <v>786</v>
      </c>
      <c r="AC217" s="86" t="s">
        <v>674</v>
      </c>
      <c r="AD217" s="86" t="s">
        <v>860</v>
      </c>
      <c r="AE217" s="86" t="s">
        <v>1035</v>
      </c>
    </row>
    <row r="218" spans="4:31">
      <c r="J218" s="87">
        <v>5</v>
      </c>
      <c r="K218" s="96">
        <v>46011</v>
      </c>
      <c r="L218" s="86" t="s">
        <v>146</v>
      </c>
      <c r="M218" s="86" t="s">
        <v>734</v>
      </c>
      <c r="N218" s="86" t="s">
        <v>458</v>
      </c>
      <c r="O218" s="86" t="s">
        <v>745</v>
      </c>
      <c r="P218" s="86" t="s">
        <v>659</v>
      </c>
      <c r="Q218" s="86" t="s">
        <v>672</v>
      </c>
      <c r="R218" s="86" t="s">
        <v>116</v>
      </c>
      <c r="S218" s="86" t="s">
        <v>718</v>
      </c>
      <c r="T218" s="86" t="s">
        <v>261</v>
      </c>
      <c r="U218" s="86" t="s">
        <v>722</v>
      </c>
      <c r="V218" s="86" t="s">
        <v>262</v>
      </c>
      <c r="W218" s="86" t="s">
        <v>677</v>
      </c>
      <c r="X218" s="86" t="s">
        <v>661</v>
      </c>
      <c r="Y218" s="86" t="s">
        <v>817</v>
      </c>
      <c r="Z218" s="86" t="s">
        <v>848</v>
      </c>
      <c r="AA218" s="95">
        <v>46011.416666666664</v>
      </c>
      <c r="AB218" s="86" t="s">
        <v>786</v>
      </c>
      <c r="AC218" s="86" t="s">
        <v>674</v>
      </c>
      <c r="AD218" s="86" t="s">
        <v>860</v>
      </c>
      <c r="AE218" s="86" t="s">
        <v>1035</v>
      </c>
    </row>
    <row r="219" spans="4:31">
      <c r="J219" s="87">
        <v>6</v>
      </c>
      <c r="K219" s="96">
        <v>46011</v>
      </c>
      <c r="L219" s="86" t="s">
        <v>146</v>
      </c>
      <c r="M219" s="86" t="s">
        <v>734</v>
      </c>
      <c r="N219" s="86" t="s">
        <v>458</v>
      </c>
      <c r="O219" s="86" t="s">
        <v>745</v>
      </c>
      <c r="P219" s="86" t="s">
        <v>660</v>
      </c>
      <c r="Q219" s="86" t="s">
        <v>673</v>
      </c>
      <c r="R219" s="86" t="s">
        <v>114</v>
      </c>
      <c r="S219" s="86" t="s">
        <v>710</v>
      </c>
      <c r="T219" s="86" t="s">
        <v>261</v>
      </c>
      <c r="U219" s="86" t="s">
        <v>722</v>
      </c>
      <c r="V219" s="86" t="s">
        <v>262</v>
      </c>
      <c r="W219" s="86" t="s">
        <v>677</v>
      </c>
      <c r="X219" s="86" t="s">
        <v>661</v>
      </c>
      <c r="Y219" s="86" t="s">
        <v>817</v>
      </c>
      <c r="Z219" s="86" t="s">
        <v>851</v>
      </c>
      <c r="AA219" s="95">
        <v>46011.416666666664</v>
      </c>
      <c r="AB219" s="86" t="s">
        <v>786</v>
      </c>
      <c r="AC219" s="86" t="s">
        <v>674</v>
      </c>
      <c r="AD219" s="86" t="s">
        <v>860</v>
      </c>
      <c r="AE219" s="86" t="s">
        <v>1035</v>
      </c>
    </row>
    <row r="220" spans="4:31">
      <c r="J220" s="87">
        <v>7</v>
      </c>
      <c r="K220" s="96">
        <v>46011</v>
      </c>
      <c r="L220" s="86" t="s">
        <v>146</v>
      </c>
      <c r="M220" s="86" t="s">
        <v>734</v>
      </c>
      <c r="N220" s="86" t="s">
        <v>459</v>
      </c>
      <c r="O220" s="86" t="s">
        <v>748</v>
      </c>
      <c r="P220" s="86" t="s">
        <v>658</v>
      </c>
      <c r="Q220" s="86" t="s">
        <v>671</v>
      </c>
      <c r="R220" s="86" t="s">
        <v>114</v>
      </c>
      <c r="S220" s="86" t="s">
        <v>710</v>
      </c>
      <c r="T220" s="86" t="s">
        <v>261</v>
      </c>
      <c r="U220" s="86" t="s">
        <v>722</v>
      </c>
      <c r="V220" s="86" t="s">
        <v>262</v>
      </c>
      <c r="W220" s="86" t="s">
        <v>677</v>
      </c>
      <c r="X220" s="86" t="s">
        <v>661</v>
      </c>
      <c r="Y220" s="86" t="s">
        <v>817</v>
      </c>
      <c r="Z220" s="86" t="s">
        <v>854</v>
      </c>
      <c r="AA220" s="95">
        <v>46011.416666666664</v>
      </c>
      <c r="AB220" s="86" t="s">
        <v>786</v>
      </c>
      <c r="AC220" s="86" t="s">
        <v>674</v>
      </c>
      <c r="AD220" s="86" t="s">
        <v>860</v>
      </c>
      <c r="AE220" s="86" t="s">
        <v>1035</v>
      </c>
    </row>
    <row r="221" spans="4:31">
      <c r="J221" s="87">
        <v>8</v>
      </c>
      <c r="K221" s="96">
        <v>46011</v>
      </c>
      <c r="L221" s="86" t="s">
        <v>260</v>
      </c>
      <c r="M221" s="86" t="s">
        <v>737</v>
      </c>
      <c r="N221" s="86" t="s">
        <v>458</v>
      </c>
      <c r="O221" s="86" t="s">
        <v>745</v>
      </c>
      <c r="P221" s="86" t="s">
        <v>658</v>
      </c>
      <c r="Q221" s="86" t="s">
        <v>671</v>
      </c>
      <c r="R221" s="86" t="s">
        <v>114</v>
      </c>
      <c r="S221" s="86" t="s">
        <v>710</v>
      </c>
      <c r="T221" s="86" t="s">
        <v>261</v>
      </c>
      <c r="U221" s="86" t="s">
        <v>722</v>
      </c>
      <c r="V221" s="86" t="s">
        <v>262</v>
      </c>
      <c r="W221" s="86" t="s">
        <v>677</v>
      </c>
      <c r="X221" s="86" t="s">
        <v>661</v>
      </c>
      <c r="Y221" s="86" t="s">
        <v>817</v>
      </c>
      <c r="Z221" s="86" t="s">
        <v>857</v>
      </c>
      <c r="AA221" s="95">
        <v>46011.416666666664</v>
      </c>
      <c r="AB221" s="86" t="s">
        <v>786</v>
      </c>
      <c r="AC221" s="86" t="s">
        <v>675</v>
      </c>
      <c r="AD221" s="86" t="s">
        <v>867</v>
      </c>
      <c r="AE221" s="86" t="s">
        <v>1035</v>
      </c>
    </row>
  </sheetData>
  <phoneticPr fontId="2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740709878BA5408EF596FFBAAFFA6C" ma:contentTypeVersion="11" ma:contentTypeDescription="新しいドキュメントを作成します。" ma:contentTypeScope="" ma:versionID="1a7321da3db519e5e678eef3db3451b8">
  <xsd:schema xmlns:xsd="http://www.w3.org/2001/XMLSchema" xmlns:xs="http://www.w3.org/2001/XMLSchema" xmlns:p="http://schemas.microsoft.com/office/2006/metadata/properties" xmlns:ns2="25c05856-9bdf-4c22-ab6e-2155d1bf8754" xmlns:ns3="833adb6f-a0c7-41a0-a612-fc40f281be47" targetNamespace="http://schemas.microsoft.com/office/2006/metadata/properties" ma:root="true" ma:fieldsID="af4beea3d4da84c2986867c09fad40de" ns2:_="" ns3:_="">
    <xsd:import namespace="25c05856-9bdf-4c22-ab6e-2155d1bf8754"/>
    <xsd:import namespace="833adb6f-a0c7-41a0-a612-fc40f281b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5856-9bdf-4c22-ab6e-2155d1bf8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adb6f-a0c7-41a0-a612-fc40f281be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d5b13-1d1a-48f0-a60a-57147129c68c}" ma:internalName="TaxCatchAll" ma:showField="CatchAllData" ma:web="833adb6f-a0c7-41a0-a612-fc40f281b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adb6f-a0c7-41a0-a612-fc40f281be47" xsi:nil="true"/>
    <lcf76f155ced4ddcb4097134ff3c332f xmlns="25c05856-9bdf-4c22-ab6e-2155d1bf87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7E8C93-060A-4361-AE2A-0F5D5432A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5856-9bdf-4c22-ab6e-2155d1bf8754"/>
    <ds:schemaRef ds:uri="833adb6f-a0c7-41a0-a612-fc40f281b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EFB726-B626-4119-A73F-C395FDA008A8}">
  <ds:schemaRefs>
    <ds:schemaRef ds:uri="http://schemas.microsoft.com/office/2006/metadata/properties"/>
    <ds:schemaRef ds:uri="http://schemas.microsoft.com/office/infopath/2007/PartnerControls"/>
    <ds:schemaRef ds:uri="833adb6f-a0c7-41a0-a612-fc40f281be47"/>
    <ds:schemaRef ds:uri="25c05856-9bdf-4c22-ab6e-2155d1bf8754"/>
  </ds:schemaRefs>
</ds:datastoreItem>
</file>

<file path=customXml/itemProps3.xml><?xml version="1.0" encoding="utf-8"?>
<ds:datastoreItem xmlns:ds="http://schemas.openxmlformats.org/officeDocument/2006/customXml" ds:itemID="{48571BE0-9478-416A-A275-0EE5D7D921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テスト一覧</vt:lpstr>
      <vt:lpstr>テスト仕様（No.1）</vt:lpstr>
      <vt:lpstr>テストデータDB（No.1）</vt:lpstr>
      <vt:lpstr>テストデータ期待値（No.1）</vt:lpstr>
      <vt:lpstr>'テスト仕様（No.1）'!Print_Area</vt:lpstr>
      <vt:lpstr>表紙!Print_Area</vt:lpstr>
      <vt:lpstr>テスト一覧!Print_Titles</vt:lpstr>
      <vt:lpstr>'テスト仕様（No.1）'!Print_Titles</vt:lpstr>
      <vt:lpstr>改訂履歴!Print_Titles</vt:lpstr>
      <vt:lpstr>表紙!Print_Titles</vt:lpstr>
      <vt:lpstr>'テスト仕様（No.1）'!テストケース数シート別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SCSK</dc:creator>
  <cp:keywords/>
  <dc:description/>
  <cp:lastModifiedBy>劉 金涛</cp:lastModifiedBy>
  <cp:revision/>
  <dcterms:created xsi:type="dcterms:W3CDTF">2013-11-22T09:46:59Z</dcterms:created>
  <dcterms:modified xsi:type="dcterms:W3CDTF">2026-05-15T08:18:23Z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0x010100AA740709878BA5408EF596FFBAAFFA6C</vt:lpwstr>
  </property>
</Properties>
</file>