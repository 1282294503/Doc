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202501_finance_system\doc\100_先行開発\202604_advanced_development\01_成果物\02_オンライン\8.5.1\"/>
    </mc:Choice>
  </mc:AlternateContent>
  <xr:revisionPtr revIDLastSave="0" documentId="13_ncr:1_{7221D236-CACE-4D60-B592-E456C15F2DEF}" xr6:coauthVersionLast="47" xr6:coauthVersionMax="47" xr10:uidLastSave="{00000000-0000-0000-0000-000000000000}"/>
  <bookViews>
    <workbookView xWindow="-120" yWindow="-120" windowWidth="29040" windowHeight="15720" tabRatio="779" activeTab="3" xr2:uid="{27C63BB1-11AC-49A2-A02D-12869C35CBCC}"/>
  </bookViews>
  <sheets>
    <sheet name="表紙" sheetId="9" r:id="rId1"/>
    <sheet name="改訂履歴" sheetId="10" r:id="rId2"/>
    <sheet name="テスト一覧" sheetId="34" r:id="rId3"/>
    <sheet name="テスト仕様（No.2）" sheetId="50" r:id="rId4"/>
    <sheet name="テストデータ期待値（No.2）" sheetId="99" r:id="rId5"/>
  </sheets>
  <definedNames>
    <definedName name="_xlnm.Print_Area" localSheetId="3">'テスト仕様（No.2）'!$A$1:$AO$35</definedName>
    <definedName name="_xlnm.Print_Area" localSheetId="0">表紙!$A$1:$AW$28</definedName>
    <definedName name="_xlnm.Print_Titles" localSheetId="2">テスト一覧!$1:$1</definedName>
    <definedName name="_xlnm.Print_Titles" localSheetId="3">'テスト仕様（No.2）'!$1:$1</definedName>
    <definedName name="_xlnm.Print_Titles" localSheetId="1">改訂履歴!$1:$1</definedName>
    <definedName name="_xlnm.Print_Titles" localSheetId="0">表紙!$1:$13</definedName>
    <definedName name="テストケース数シート別" localSheetId="3">'テスト仕様（No.2）'!$C$1</definedName>
    <definedName name="テストケース数シート別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50" l="1"/>
  <c r="C5" i="50" s="1"/>
  <c r="C6" i="50" s="1"/>
  <c r="C7" i="50" s="1"/>
  <c r="C8" i="50" s="1"/>
  <c r="C9" i="50" s="1"/>
  <c r="C10" i="50" s="1"/>
  <c r="C14" i="50" l="1"/>
  <c r="C15" i="50" s="1"/>
  <c r="C16" i="50" s="1"/>
  <c r="C17" i="50" s="1"/>
  <c r="C18" i="50" s="1"/>
  <c r="C19" i="50" s="1"/>
  <c r="C20" i="50" s="1"/>
  <c r="C21" i="50" s="1"/>
  <c r="E1" i="50"/>
  <c r="I2" i="34" a="1"/>
  <c r="I2" i="34" l="1"/>
  <c r="A2" i="1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SCSK</author>
  </authors>
  <commentList>
    <comment ref="E1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変更の起因となった不具合管理番号、変更管理番号などを記載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<sst xmlns="http://schemas.openxmlformats.org/spreadsheetml/2006/main" count="649" uniqueCount="196">
  <si>
    <t>管理No.：</t>
    <rPh sb="0" eb="2">
      <t>カンリ</t>
    </rPh>
    <phoneticPr fontId="3"/>
  </si>
  <si>
    <r>
      <t xml:space="preserve">単体テスト仕様書兼結果報告書
</t>
    </r>
    <r>
      <rPr>
        <b/>
        <sz val="22"/>
        <rFont val="ＭＳ Ｐゴシック"/>
        <family val="3"/>
        <charset val="128"/>
      </rPr>
      <t>（第　版）</t>
    </r>
    <rPh sb="8" eb="9">
      <t>ケン</t>
    </rPh>
    <rPh sb="9" eb="11">
      <t>ケッカ</t>
    </rPh>
    <rPh sb="11" eb="13">
      <t>ホウコク</t>
    </rPh>
    <rPh sb="13" eb="14">
      <t>ショ</t>
    </rPh>
    <rPh sb="16" eb="17">
      <t>ダイ</t>
    </rPh>
    <rPh sb="18" eb="19">
      <t>ハン</t>
    </rPh>
    <phoneticPr fontId="3"/>
  </si>
  <si>
    <t>顧客ID</t>
    <rPh sb="0" eb="2">
      <t>コキャク</t>
    </rPh>
    <phoneticPr fontId="26"/>
  </si>
  <si>
    <t>顧客名</t>
    <rPh sb="0" eb="2">
      <t>コキャク</t>
    </rPh>
    <rPh sb="2" eb="3">
      <t>メイ</t>
    </rPh>
    <phoneticPr fontId="26"/>
  </si>
  <si>
    <t>システムID</t>
    <phoneticPr fontId="26"/>
  </si>
  <si>
    <t>システム名</t>
    <rPh sb="4" eb="5">
      <t>メイ</t>
    </rPh>
    <phoneticPr fontId="26"/>
  </si>
  <si>
    <t>サブシステムID</t>
    <phoneticPr fontId="3"/>
  </si>
  <si>
    <t>サブシステム名</t>
    <rPh sb="6" eb="7">
      <t>メイ</t>
    </rPh>
    <phoneticPr fontId="3"/>
  </si>
  <si>
    <t>機能ID</t>
    <rPh sb="0" eb="2">
      <t>キノウ</t>
    </rPh>
    <phoneticPr fontId="3"/>
  </si>
  <si>
    <t>機能名</t>
    <rPh sb="0" eb="2">
      <t>キノウ</t>
    </rPh>
    <rPh sb="2" eb="3">
      <t>メイ</t>
    </rPh>
    <phoneticPr fontId="3"/>
  </si>
  <si>
    <t>プログラムID</t>
    <phoneticPr fontId="3"/>
  </si>
  <si>
    <t>プログラム名</t>
    <rPh sb="5" eb="6">
      <t>メイ</t>
    </rPh>
    <phoneticPr fontId="3"/>
  </si>
  <si>
    <t>作成日付</t>
    <rPh sb="0" eb="2">
      <t>サクセイ</t>
    </rPh>
    <rPh sb="2" eb="4">
      <t>ヒヅケ</t>
    </rPh>
    <phoneticPr fontId="26"/>
  </si>
  <si>
    <t>作成者</t>
    <rPh sb="0" eb="3">
      <t>サクセイシャ</t>
    </rPh>
    <phoneticPr fontId="3"/>
  </si>
  <si>
    <t>最終変更日付</t>
    <rPh sb="0" eb="2">
      <t>サイシュウ</t>
    </rPh>
    <rPh sb="2" eb="4">
      <t>ヘンコウ</t>
    </rPh>
    <rPh sb="4" eb="6">
      <t>ヒヅケ</t>
    </rPh>
    <phoneticPr fontId="26"/>
  </si>
  <si>
    <t>変更者</t>
    <rPh sb="0" eb="2">
      <t>ヘンコウ</t>
    </rPh>
    <rPh sb="2" eb="3">
      <t>シャ</t>
    </rPh>
    <phoneticPr fontId="3"/>
  </si>
  <si>
    <t>確認欄</t>
    <rPh sb="0" eb="2">
      <t>カクニン</t>
    </rPh>
    <rPh sb="2" eb="3">
      <t>ラン</t>
    </rPh>
    <phoneticPr fontId="26"/>
  </si>
  <si>
    <t>印</t>
    <rPh sb="0" eb="1">
      <t>イン</t>
    </rPh>
    <phoneticPr fontId="26"/>
  </si>
  <si>
    <t>No.</t>
    <phoneticPr fontId="3"/>
  </si>
  <si>
    <t>版</t>
    <rPh sb="0" eb="1">
      <t>ハン</t>
    </rPh>
    <phoneticPr fontId="3"/>
  </si>
  <si>
    <t>変更箇所</t>
    <rPh sb="0" eb="2">
      <t>ヘンコウ</t>
    </rPh>
    <rPh sb="2" eb="4">
      <t>カショ</t>
    </rPh>
    <phoneticPr fontId="3"/>
  </si>
  <si>
    <t>変更内容</t>
    <rPh sb="0" eb="2">
      <t>ヘンコウ</t>
    </rPh>
    <rPh sb="2" eb="4">
      <t>ナイヨウ</t>
    </rPh>
    <phoneticPr fontId="3"/>
  </si>
  <si>
    <t>管理番号</t>
    <rPh sb="0" eb="2">
      <t>カンリ</t>
    </rPh>
    <rPh sb="2" eb="4">
      <t>バンゴウ</t>
    </rPh>
    <phoneticPr fontId="3"/>
  </si>
  <si>
    <t>変更者
・日付</t>
    <rPh sb="0" eb="2">
      <t>ヘンコウ</t>
    </rPh>
    <rPh sb="2" eb="3">
      <t>シャ</t>
    </rPh>
    <rPh sb="5" eb="7">
      <t>ヒヅケ</t>
    </rPh>
    <phoneticPr fontId="3"/>
  </si>
  <si>
    <t>確認者
・日付</t>
    <rPh sb="0" eb="2">
      <t>カクニン</t>
    </rPh>
    <rPh sb="2" eb="3">
      <t>シャ</t>
    </rPh>
    <rPh sb="5" eb="7">
      <t>ヒヅケ</t>
    </rPh>
    <phoneticPr fontId="3"/>
  </si>
  <si>
    <t>承認者
・日付</t>
    <rPh sb="0" eb="2">
      <t>ショウニン</t>
    </rPh>
    <rPh sb="2" eb="3">
      <t>シャ</t>
    </rPh>
    <rPh sb="5" eb="7">
      <t>ヒヅケ</t>
    </rPh>
    <phoneticPr fontId="3"/>
  </si>
  <si>
    <t>テスト観点</t>
    <rPh sb="3" eb="5">
      <t>カンテン</t>
    </rPh>
    <phoneticPr fontId="3"/>
  </si>
  <si>
    <t>想定結果</t>
    <rPh sb="0" eb="2">
      <t>ソウテイ</t>
    </rPh>
    <rPh sb="2" eb="4">
      <t>ケッカ</t>
    </rPh>
    <phoneticPr fontId="3"/>
  </si>
  <si>
    <t>エビデンス</t>
    <phoneticPr fontId="3"/>
  </si>
  <si>
    <t>確認結果</t>
    <rPh sb="0" eb="2">
      <t>カクニン</t>
    </rPh>
    <rPh sb="2" eb="4">
      <t>ケッカ</t>
    </rPh>
    <phoneticPr fontId="3"/>
  </si>
  <si>
    <t>排他カウンタ</t>
  </si>
  <si>
    <t>前提条件</t>
    <rPh sb="0" eb="2">
      <t>ゼンテイ</t>
    </rPh>
    <rPh sb="2" eb="4">
      <t>ジョウケン</t>
    </rPh>
    <phoneticPr fontId="3"/>
  </si>
  <si>
    <t>JUnitテストによる確認</t>
  </si>
  <si>
    <t>テストケースＮｏ．</t>
  </si>
  <si>
    <t>件数：</t>
  </si>
  <si>
    <t>№</t>
  </si>
  <si>
    <t>テストケース条件内容</t>
  </si>
  <si>
    <t>テストケース条件</t>
  </si>
  <si>
    <t>Y</t>
  </si>
  <si>
    <t>確認項目内容</t>
  </si>
  <si>
    <t>○</t>
  </si>
  <si>
    <t>エビデンス内容</t>
  </si>
  <si>
    <t>エビデンス</t>
  </si>
  <si>
    <t>I</t>
  </si>
  <si>
    <t>O</t>
  </si>
  <si>
    <t>確認結果</t>
  </si>
  <si>
    <t>チェック欄</t>
  </si>
  <si>
    <t>０件</t>
    <rPh sb="1" eb="2">
      <t>ケン</t>
    </rPh>
    <phoneticPr fontId="3"/>
  </si>
  <si>
    <t>1件</t>
    <rPh sb="1" eb="2">
      <t>ケン</t>
    </rPh>
    <phoneticPr fontId="3"/>
  </si>
  <si>
    <t>戻り値の確認</t>
    <rPh sb="0" eb="1">
      <t>モド</t>
    </rPh>
    <rPh sb="2" eb="3">
      <t>アタイ</t>
    </rPh>
    <rPh sb="4" eb="6">
      <t>カクニン</t>
    </rPh>
    <phoneticPr fontId="3"/>
  </si>
  <si>
    <t>NULLが設定されていること</t>
    <rPh sb="5" eb="7">
      <t>セッテイ</t>
    </rPh>
    <phoneticPr fontId="3"/>
  </si>
  <si>
    <t>確認項目　※詳細は「単体テスト観点」を参照</t>
    <rPh sb="0" eb="2">
      <t>カクニン</t>
    </rPh>
    <rPh sb="2" eb="4">
      <t>コウモク</t>
    </rPh>
    <rPh sb="6" eb="8">
      <t>ショウサイ</t>
    </rPh>
    <rPh sb="10" eb="12">
      <t>タンタイ</t>
    </rPh>
    <rPh sb="15" eb="17">
      <t>カンテン</t>
    </rPh>
    <rPh sb="19" eb="21">
      <t>サンショウ</t>
    </rPh>
    <phoneticPr fontId="3"/>
  </si>
  <si>
    <t>テストパターン数</t>
    <rPh sb="7" eb="8">
      <t>スウ</t>
    </rPh>
    <phoneticPr fontId="3"/>
  </si>
  <si>
    <t>テストパターン数合計</t>
    <rPh sb="7" eb="8">
      <t>スウ</t>
    </rPh>
    <rPh sb="8" eb="10">
      <t>ゴウケイ</t>
    </rPh>
    <phoneticPr fontId="3"/>
  </si>
  <si>
    <t>テストケース</t>
    <phoneticPr fontId="3"/>
  </si>
  <si>
    <t>テストパターン</t>
    <phoneticPr fontId="3"/>
  </si>
  <si>
    <t>入力/期待値</t>
    <rPh sb="0" eb="2">
      <t>ニュウリョク</t>
    </rPh>
    <rPh sb="3" eb="6">
      <t>キタイチ</t>
    </rPh>
    <phoneticPr fontId="3"/>
  </si>
  <si>
    <t>種別</t>
    <rPh sb="0" eb="2">
      <t>シュベツ</t>
    </rPh>
    <phoneticPr fontId="3"/>
  </si>
  <si>
    <t>論理名</t>
    <rPh sb="0" eb="3">
      <t>ロンリメイ</t>
    </rPh>
    <phoneticPr fontId="3"/>
  </si>
  <si>
    <t>String</t>
  </si>
  <si>
    <t>Integer</t>
  </si>
  <si>
    <t>1</t>
  </si>
  <si>
    <t>input</t>
  </si>
  <si>
    <t>2</t>
  </si>
  <si>
    <t>dto</t>
  </si>
  <si>
    <t>false</t>
  </si>
  <si>
    <t>expected</t>
  </si>
  <si>
    <t>NORMAL</t>
  </si>
  <si>
    <t>20260420</t>
  </si>
  <si>
    <t>承認状況</t>
  </si>
  <si>
    <t>ファイル名</t>
    <rPh sb="4" eb="5">
      <t>メイ</t>
    </rPh>
    <phoneticPr fontId="3"/>
  </si>
  <si>
    <t>人件費情報基本入力画面に検索一覧取得</t>
    <rPh sb="0" eb="3">
      <t>ジンケンヒ</t>
    </rPh>
    <rPh sb="3" eb="5">
      <t>ジョウホウ</t>
    </rPh>
    <rPh sb="5" eb="7">
      <t>キホン</t>
    </rPh>
    <rPh sb="7" eb="9">
      <t>ニュウリョク</t>
    </rPh>
    <rPh sb="9" eb="11">
      <t>ガメン</t>
    </rPh>
    <rPh sb="12" eb="14">
      <t>ケンサク</t>
    </rPh>
    <rPh sb="14" eb="16">
      <t>イチラン</t>
    </rPh>
    <rPh sb="16" eb="18">
      <t>シュトク</t>
    </rPh>
    <phoneticPr fontId="3"/>
  </si>
  <si>
    <t>複数件</t>
    <rPh sb="0" eb="2">
      <t>フクスウ</t>
    </rPh>
    <rPh sb="2" eb="3">
      <t>ケン</t>
    </rPh>
    <phoneticPr fontId="3"/>
  </si>
  <si>
    <t>人件費情報入力検索取得</t>
    <rPh sb="0" eb="3">
      <t>ジンケンヒ</t>
    </rPh>
    <rPh sb="3" eb="5">
      <t>ジョウホウ</t>
    </rPh>
    <rPh sb="5" eb="7">
      <t>ニュウリョク</t>
    </rPh>
    <rPh sb="7" eb="9">
      <t>ケンサク</t>
    </rPh>
    <phoneticPr fontId="3"/>
  </si>
  <si>
    <t xml:space="preserve"> 人件費情報基本入力一覧明細Dtoリスト</t>
    <phoneticPr fontId="3"/>
  </si>
  <si>
    <t xml:space="preserve"> 論理削除件数</t>
    <rPh sb="1" eb="3">
      <t>ロンリ</t>
    </rPh>
    <rPh sb="3" eb="5">
      <t>サクジョ</t>
    </rPh>
    <rPh sb="5" eb="7">
      <t>ケンスウ</t>
    </rPh>
    <phoneticPr fontId="3"/>
  </si>
  <si>
    <t>ロジック#照会ボタンメイン処理の戻り値が設定されていること</t>
    <rPh sb="16" eb="17">
      <t>モド</t>
    </rPh>
    <rPh sb="18" eb="19">
      <t>アタイ</t>
    </rPh>
    <rPh sb="20" eb="22">
      <t>セッテイ</t>
    </rPh>
    <phoneticPr fontId="3"/>
  </si>
  <si>
    <t>人件費補完情報削除の確認</t>
    <rPh sb="0" eb="3">
      <t>ジンケンヒ</t>
    </rPh>
    <rPh sb="3" eb="5">
      <t>ホカン</t>
    </rPh>
    <rPh sb="5" eb="7">
      <t>ジョウホウ</t>
    </rPh>
    <rPh sb="7" eb="9">
      <t>サクジョ</t>
    </rPh>
    <phoneticPr fontId="3"/>
  </si>
  <si>
    <t>ロジックのメソッドの妥当性
人件費情報個別確認画面
確認ボタンメイン処理</t>
    <phoneticPr fontId="3"/>
  </si>
  <si>
    <t>・メソッドが内部設計通りに動作すること</t>
    <phoneticPr fontId="3"/>
  </si>
  <si>
    <t>・ループ処理</t>
    <phoneticPr fontId="3"/>
  </si>
  <si>
    <t>confirmInquiryMainのテスト</t>
    <phoneticPr fontId="3"/>
  </si>
  <si>
    <t>対象年月（From）</t>
    <phoneticPr fontId="26"/>
  </si>
  <si>
    <t>taishoNengetsuFrom</t>
    <phoneticPr fontId="26"/>
  </si>
  <si>
    <t>taishoNengetsuTo</t>
    <phoneticPr fontId="3"/>
  </si>
  <si>
    <t>shoninJokyoMishusei</t>
    <phoneticPr fontId="2"/>
  </si>
  <si>
    <t>shoninJokyoSashimodoshi</t>
    <phoneticPr fontId="3"/>
  </si>
  <si>
    <t>shoninJokyoShitagakiHozon</t>
    <phoneticPr fontId="3"/>
  </si>
  <si>
    <t>shoninJokyoShoninIraichu</t>
    <phoneticPr fontId="2"/>
  </si>
  <si>
    <t>shoninJokyoShoninzumi</t>
    <phoneticPr fontId="2"/>
  </si>
  <si>
    <t>対象年月（To）</t>
    <phoneticPr fontId="3"/>
  </si>
  <si>
    <t>承認状況（未修正）</t>
    <phoneticPr fontId="2"/>
  </si>
  <si>
    <t>承認状況（差戻）</t>
    <phoneticPr fontId="3"/>
  </si>
  <si>
    <t>承認状況（下書保存）</t>
    <phoneticPr fontId="3"/>
  </si>
  <si>
    <t>承認状況（依頼中）</t>
    <phoneticPr fontId="2"/>
  </si>
  <si>
    <t>承認状況（承認済）</t>
    <phoneticPr fontId="2"/>
  </si>
  <si>
    <t>Integer</t>
    <phoneticPr fontId="26"/>
  </si>
  <si>
    <t>Integer</t>
    <phoneticPr fontId="3"/>
  </si>
  <si>
    <t>boolean</t>
    <phoneticPr fontId="2"/>
  </si>
  <si>
    <t>boolean</t>
    <phoneticPr fontId="3"/>
  </si>
  <si>
    <t>DAC2015_LaborCostInfoEntrySearchDto</t>
    <phoneticPr fontId="3"/>
  </si>
  <si>
    <t>DAC2015_LaborCostInfoEntryBasicInputListDetailDto</t>
  </si>
  <si>
    <t>DAC2015_LaborCostInfoEntryBasicInputListDetailDto</t>
    <phoneticPr fontId="26"/>
  </si>
  <si>
    <t>selectionId</t>
  </si>
  <si>
    <t>shoninJokyoKbn</t>
  </si>
  <si>
    <t>shoninJokyo</t>
  </si>
  <si>
    <t>LocalDate</t>
  </si>
  <si>
    <t>koshinbi</t>
  </si>
  <si>
    <t>keiribi</t>
  </si>
  <si>
    <t>koshinsha</t>
  </si>
  <si>
    <t>shikyubi</t>
  </si>
  <si>
    <t>入力区分コード</t>
  </si>
  <si>
    <t>nyuryokuKbnCd</t>
  </si>
  <si>
    <t>nyuryokuKbnMeisho</t>
  </si>
  <si>
    <t>rendoDataSokensu</t>
  </si>
  <si>
    <t>shuseiSokensu</t>
  </si>
  <si>
    <t>dempyoNo</t>
  </si>
  <si>
    <t>申請番号</t>
  </si>
  <si>
    <t>shinseiNo</t>
  </si>
  <si>
    <t>haitaCnt</t>
  </si>
  <si>
    <t>dempyoNoKyuyoKojo</t>
  </si>
  <si>
    <t>申請番号（給与控除）</t>
  </si>
  <si>
    <t>shinseiNoKyuyoKojo</t>
  </si>
  <si>
    <t>排他カウンタ（給与控除）</t>
  </si>
  <si>
    <t>haitaCntKyuyoKojo</t>
  </si>
  <si>
    <t>選択ＩＤ</t>
  </si>
  <si>
    <t>承認状況区分</t>
  </si>
  <si>
    <t>更新日</t>
  </si>
  <si>
    <t>経理日</t>
  </si>
  <si>
    <t>更新者</t>
  </si>
  <si>
    <t>支給日</t>
  </si>
  <si>
    <t>入力区分名称</t>
  </si>
  <si>
    <t>連動データ総件数</t>
  </si>
  <si>
    <t>修正総件数</t>
  </si>
  <si>
    <t>伝票番号</t>
  </si>
  <si>
    <t>伝票番号（給与控除）</t>
  </si>
  <si>
    <t>MISHUSEI</t>
  </si>
  <si>
    <t>UTUSER</t>
  </si>
  <si>
    <t>KYUYO_SHIKYU</t>
  </si>
  <si>
    <t>DEN001</t>
  </si>
  <si>
    <t>SHIN001</t>
  </si>
  <si>
    <t>DEN_K001</t>
  </si>
  <si>
    <t>SHIN_K001</t>
  </si>
  <si>
    <t>論理削除件数</t>
    <phoneticPr fontId="26"/>
  </si>
  <si>
    <t>その他</t>
    <rPh sb="2" eb="3">
      <t>タ</t>
    </rPh>
    <phoneticPr fontId="3"/>
  </si>
  <si>
    <t>ronriSakujoKensu</t>
    <phoneticPr fontId="26"/>
  </si>
  <si>
    <t>kyuyoKashoMeisho</t>
  </si>
  <si>
    <t>kamokuBunruiMeisho</t>
  </si>
  <si>
    <t>kamokuKbnCd</t>
  </si>
  <si>
    <t>kamokuKbnMeisho</t>
  </si>
  <si>
    <t>gyoshuCd</t>
  </si>
  <si>
    <t>gyoshuMeisho</t>
  </si>
  <si>
    <t>給与区分コード</t>
  </si>
  <si>
    <t>給与区分名称</t>
  </si>
  <si>
    <t>給与個所コード</t>
  </si>
  <si>
    <t>給与個所名称</t>
  </si>
  <si>
    <t>科目分類コード</t>
  </si>
  <si>
    <t>科目分類名称</t>
  </si>
  <si>
    <t>科目区分コード</t>
  </si>
  <si>
    <t>科目区分名称</t>
  </si>
  <si>
    <t>業種コード</t>
  </si>
  <si>
    <t>業種名称</t>
  </si>
  <si>
    <t>所属コード</t>
  </si>
  <si>
    <t>所属名称</t>
  </si>
  <si>
    <t>支払先区分</t>
  </si>
  <si>
    <t>支払先コード</t>
  </si>
  <si>
    <t>支払先名称</t>
  </si>
  <si>
    <t>支払予定日</t>
  </si>
  <si>
    <t>kyuyoKbnCd</t>
  </si>
  <si>
    <t>kyuyoKbnMeisho</t>
  </si>
  <si>
    <t>kyuyoKashoCd</t>
  </si>
  <si>
    <t>kamokuBunruiCd</t>
  </si>
  <si>
    <t>shozokuCd</t>
  </si>
  <si>
    <t>shozokuMeisho</t>
  </si>
  <si>
    <t>shiharaisakiKbn</t>
  </si>
  <si>
    <t>shiharaisakiCd</t>
  </si>
  <si>
    <t>shiharaisakiMeisho</t>
  </si>
  <si>
    <t>shiharaiYoteibi</t>
  </si>
  <si>
    <t>HONKYU</t>
  </si>
  <si>
    <t>SAPPORO_HONSHA</t>
  </si>
  <si>
    <t>JINKENHI</t>
  </si>
  <si>
    <t>KYUYO</t>
  </si>
  <si>
    <t>IPPAN_GYOMU</t>
  </si>
  <si>
    <t>KEIRI_BU</t>
  </si>
  <si>
    <t>TEST_VENDOR</t>
  </si>
  <si>
    <t>null</t>
    <phoneticPr fontId="26"/>
  </si>
  <si>
    <t>KYUYO_KOJO</t>
  </si>
  <si>
    <t>TEATE</t>
  </si>
  <si>
    <t>TOKYO_SHITEN</t>
  </si>
  <si>
    <t>FUKURI_KOSEI</t>
  </si>
  <si>
    <t>SHAKAI_HOKEN</t>
  </si>
  <si>
    <t>TOKUSEI_GYOMU</t>
  </si>
  <si>
    <t>JINJI_BU</t>
  </si>
  <si>
    <t>TEST_ADMIN</t>
  </si>
  <si>
    <t>SAMPLE_CORP</t>
  </si>
  <si>
    <t>1</t>
    <phoneticPr fontId="2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</si>
</sst>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.00_);_(* \(#,##0.00\);_(* &quot;-&quot;??_);_(@_)"/>
    <numFmt numFmtId="177" formatCode="&quot;$&quot;#,##0_);\(&quot;$&quot;#,##0\)"/>
    <numFmt numFmtId="178" formatCode="#,##0;\-#,##0;&quot;-&quot;"/>
    <numFmt numFmtId="179" formatCode="&quot;$&quot;#,##0;[Red]\-&quot;$&quot;#,##0"/>
    <numFmt numFmtId="180" formatCode="&quot;$&quot;#,##0.00;[Red]\-&quot;$&quot;#,##0.00"/>
    <numFmt numFmtId="181" formatCode="0.0000000000"/>
    <numFmt numFmtId="182" formatCode="0_ "/>
  </numFmts>
  <fonts count="48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9"/>
      <name val="ＭＳ 明朝"/>
      <family val="1"/>
      <charset val="128"/>
    </font>
    <font>
      <sz val="6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28"/>
      <name val="ＭＳ Ｐゴシック"/>
      <family val="3"/>
      <charset val="128"/>
    </font>
    <font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1"/>
      <color indexed="22"/>
      <name val="ＭＳ Ｐゴシック"/>
      <family val="3"/>
      <charset val="128"/>
    </font>
    <font>
      <sz val="10"/>
      <name val="ＭＳ Ｐ明朝"/>
      <family val="1"/>
      <charset val="128"/>
    </font>
    <font>
      <b/>
      <sz val="10"/>
      <name val="MS Sans Serif"/>
      <family val="2"/>
    </font>
    <font>
      <sz val="10"/>
      <color indexed="8"/>
      <name val="Arial"/>
      <family val="2"/>
    </font>
    <font>
      <b/>
      <sz val="10"/>
      <name val="Helv"/>
      <family val="2"/>
    </font>
    <font>
      <sz val="10"/>
      <name val="MS Sans Serif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4"/>
      <name val="ＭＳ 明朝"/>
      <family val="1"/>
      <charset val="128"/>
    </font>
    <font>
      <sz val="11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b/>
      <sz val="22"/>
      <name val="ＭＳ Ｐゴシック"/>
      <family val="3"/>
      <charset val="128"/>
    </font>
    <font>
      <sz val="11"/>
      <color theme="1"/>
      <name val="ＭＳ Ｐゴシック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31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9" fillId="0" borderId="0">
      <alignment vertical="center" wrapText="1"/>
    </xf>
    <xf numFmtId="177" fontId="30" fillId="0" borderId="1" applyAlignment="0" applyProtection="0"/>
    <xf numFmtId="178" fontId="31" fillId="0" borderId="0" applyFill="0" applyBorder="0" applyAlignment="0"/>
    <xf numFmtId="0" fontId="32" fillId="0" borderId="0"/>
    <xf numFmtId="38" fontId="33" fillId="0" borderId="0" applyFont="0" applyFill="0" applyBorder="0" applyAlignment="0" applyProtection="0"/>
    <xf numFmtId="176" fontId="34" fillId="0" borderId="0" applyFont="0" applyFill="0" applyBorder="0" applyAlignment="0" applyProtection="0"/>
    <xf numFmtId="179" fontId="33" fillId="0" borderId="0" applyFont="0" applyFill="0" applyBorder="0" applyAlignment="0" applyProtection="0"/>
    <xf numFmtId="180" fontId="33" fillId="0" borderId="0" applyFont="0" applyFill="0" applyBorder="0" applyAlignment="0" applyProtection="0"/>
    <xf numFmtId="38" fontId="35" fillId="16" borderId="0" applyNumberFormat="0" applyBorder="0" applyAlignment="0" applyProtection="0"/>
    <xf numFmtId="0" fontId="36" fillId="0" borderId="0">
      <alignment horizontal="left"/>
    </xf>
    <xf numFmtId="0" fontId="37" fillId="0" borderId="2" applyNumberFormat="0" applyAlignment="0" applyProtection="0">
      <alignment horizontal="left" vertical="center"/>
    </xf>
    <xf numFmtId="0" fontId="37" fillId="0" borderId="3">
      <alignment horizontal="left" vertical="center"/>
    </xf>
    <xf numFmtId="10" fontId="35" fillId="16" borderId="4" applyNumberFormat="0" applyBorder="0" applyAlignment="0" applyProtection="0"/>
    <xf numFmtId="0" fontId="38" fillId="0" borderId="5"/>
    <xf numFmtId="181" fontId="6" fillId="0" borderId="0"/>
    <xf numFmtId="181" fontId="6" fillId="0" borderId="0"/>
    <xf numFmtId="181" fontId="6" fillId="0" borderId="0"/>
    <xf numFmtId="0" fontId="34" fillId="0" borderId="0"/>
    <xf numFmtId="10" fontId="34" fillId="0" borderId="0" applyFont="0" applyFill="0" applyBorder="0" applyAlignment="0" applyProtection="0"/>
    <xf numFmtId="0" fontId="33" fillId="0" borderId="0" applyNumberFormat="0" applyFont="0" applyFill="0" applyBorder="0" applyAlignment="0" applyProtection="0">
      <alignment horizontal="left"/>
    </xf>
    <xf numFmtId="0" fontId="30" fillId="0" borderId="5">
      <alignment horizontal="center"/>
    </xf>
    <xf numFmtId="0" fontId="39" fillId="0" borderId="6"/>
    <xf numFmtId="0" fontId="38" fillId="0" borderId="0"/>
    <xf numFmtId="0" fontId="39" fillId="0" borderId="0"/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1" borderId="7" applyNumberFormat="0" applyAlignment="0" applyProtection="0">
      <alignment vertical="center"/>
    </xf>
    <xf numFmtId="0" fontId="10" fillId="21" borderId="7" applyNumberForma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7" fillId="23" borderId="8" applyNumberFormat="0" applyFont="0" applyAlignment="0" applyProtection="0">
      <alignment vertical="center"/>
    </xf>
    <xf numFmtId="0" fontId="4" fillId="23" borderId="8" applyNumberFormat="0" applyFon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24" borderId="10" applyNumberFormat="0" applyAlignment="0" applyProtection="0">
      <alignment vertical="center"/>
    </xf>
    <xf numFmtId="0" fontId="14" fillId="24" borderId="10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24" borderId="15" applyNumberFormat="0" applyAlignment="0" applyProtection="0">
      <alignment vertical="center"/>
    </xf>
    <xf numFmtId="0" fontId="20" fillId="24" borderId="1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horizontal="center" vertical="center"/>
    </xf>
    <xf numFmtId="0" fontId="22" fillId="7" borderId="10" applyNumberFormat="0" applyAlignment="0" applyProtection="0">
      <alignment vertical="center"/>
    </xf>
    <xf numFmtId="0" fontId="22" fillId="7" borderId="10" applyNumberFormat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2" fillId="0" borderId="0"/>
    <xf numFmtId="0" fontId="40" fillId="0" borderId="0"/>
    <xf numFmtId="0" fontId="41" fillId="0" borderId="0"/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2" fillId="7" borderId="10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24" borderId="15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  <xf numFmtId="0" fontId="47" fillId="0" borderId="0"/>
  </cellStyleXfs>
  <cellXfs count="149">
    <xf numFmtId="0" fontId="0" fillId="0" borderId="0" xfId="0">
      <alignment vertical="center"/>
    </xf>
    <xf numFmtId="0" fontId="4" fillId="0" borderId="0" xfId="110" applyFont="1" applyAlignment="1">
      <alignment vertical="center"/>
    </xf>
    <xf numFmtId="0" fontId="4" fillId="0" borderId="0" xfId="110" applyFont="1" applyAlignment="1">
      <alignment vertical="top"/>
    </xf>
    <xf numFmtId="0" fontId="5" fillId="0" borderId="0" xfId="0" applyFont="1">
      <alignment vertical="center"/>
    </xf>
    <xf numFmtId="0" fontId="4" fillId="0" borderId="4" xfId="0" applyFont="1" applyBorder="1" applyAlignment="1">
      <alignment horizontal="left" vertical="top" wrapText="1"/>
    </xf>
    <xf numFmtId="0" fontId="4" fillId="0" borderId="0" xfId="110" applyFont="1" applyAlignment="1">
      <alignment vertical="top" wrapText="1"/>
    </xf>
    <xf numFmtId="49" fontId="4" fillId="0" borderId="0" xfId="110" applyNumberFormat="1" applyFont="1" applyAlignment="1">
      <alignment vertical="top" wrapText="1"/>
    </xf>
    <xf numFmtId="0" fontId="4" fillId="0" borderId="0" xfId="110" applyFont="1" applyAlignment="1">
      <alignment horizontal="center" vertical="top" wrapText="1"/>
    </xf>
    <xf numFmtId="0" fontId="6" fillId="0" borderId="0" xfId="107">
      <alignment vertical="center"/>
    </xf>
    <xf numFmtId="49" fontId="42" fillId="25" borderId="0" xfId="107" applyNumberFormat="1" applyFont="1" applyFill="1" applyAlignment="1">
      <alignment horizontal="left" vertical="top" wrapText="1"/>
    </xf>
    <xf numFmtId="49" fontId="6" fillId="25" borderId="0" xfId="107" applyNumberFormat="1" applyFill="1" applyAlignment="1">
      <alignment horizontal="left" vertical="top" wrapText="1"/>
    </xf>
    <xf numFmtId="0" fontId="27" fillId="0" borderId="0" xfId="107" applyFont="1">
      <alignment vertical="center"/>
    </xf>
    <xf numFmtId="0" fontId="6" fillId="25" borderId="0" xfId="107" applyFill="1">
      <alignment vertical="center"/>
    </xf>
    <xf numFmtId="0" fontId="28" fillId="25" borderId="0" xfId="107" applyFont="1" applyFill="1">
      <alignment vertical="center"/>
    </xf>
    <xf numFmtId="0" fontId="4" fillId="0" borderId="0" xfId="0" applyFont="1" applyAlignment="1">
      <alignment vertical="top" wrapText="1"/>
    </xf>
    <xf numFmtId="0" fontId="4" fillId="0" borderId="0" xfId="110" applyFont="1" applyAlignment="1">
      <alignment vertical="center" wrapText="1"/>
    </xf>
    <xf numFmtId="0" fontId="4" fillId="0" borderId="4" xfId="0" applyFont="1" applyBorder="1" applyAlignment="1">
      <alignment horizontal="right" vertical="top" wrapText="1"/>
    </xf>
    <xf numFmtId="49" fontId="4" fillId="0" borderId="4" xfId="110" applyNumberFormat="1" applyFont="1" applyBorder="1" applyAlignment="1">
      <alignment horizontal="left" vertical="top" wrapText="1"/>
    </xf>
    <xf numFmtId="0" fontId="4" fillId="0" borderId="4" xfId="110" applyFont="1" applyBorder="1" applyAlignment="1">
      <alignment horizontal="left" vertical="top" wrapText="1"/>
    </xf>
    <xf numFmtId="0" fontId="4" fillId="0" borderId="0" xfId="0" applyFont="1" applyAlignment="1">
      <alignment vertical="center" wrapText="1"/>
    </xf>
    <xf numFmtId="0" fontId="4" fillId="0" borderId="0" xfId="108" applyFont="1" applyAlignment="1">
      <alignment wrapText="1"/>
    </xf>
    <xf numFmtId="0" fontId="4" fillId="0" borderId="0" xfId="108" applyFont="1" applyAlignment="1">
      <alignment horizontal="center" wrapText="1"/>
    </xf>
    <xf numFmtId="0" fontId="4" fillId="0" borderId="0" xfId="108" applyFont="1" applyAlignment="1">
      <alignment vertical="top" wrapText="1"/>
    </xf>
    <xf numFmtId="0" fontId="4" fillId="0" borderId="4" xfId="108" applyFont="1" applyBorder="1" applyAlignment="1">
      <alignment horizontal="right" vertical="top" wrapText="1"/>
    </xf>
    <xf numFmtId="0" fontId="4" fillId="0" borderId="0" xfId="108" applyFont="1"/>
    <xf numFmtId="0" fontId="4" fillId="26" borderId="4" xfId="0" applyFont="1" applyFill="1" applyBorder="1" applyAlignment="1">
      <alignment horizontal="center" vertical="center" wrapText="1"/>
    </xf>
    <xf numFmtId="0" fontId="4" fillId="26" borderId="40" xfId="108" applyFont="1" applyFill="1" applyBorder="1" applyAlignment="1">
      <alignment horizontal="left" vertical="top" wrapText="1"/>
    </xf>
    <xf numFmtId="0" fontId="5" fillId="26" borderId="16" xfId="0" applyFont="1" applyFill="1" applyBorder="1" applyAlignment="1">
      <alignment horizontal="center" vertical="center"/>
    </xf>
    <xf numFmtId="0" fontId="4" fillId="26" borderId="17" xfId="0" applyFont="1" applyFill="1" applyBorder="1" applyAlignment="1">
      <alignment horizontal="center" vertical="center" wrapText="1"/>
    </xf>
    <xf numFmtId="0" fontId="4" fillId="0" borderId="0" xfId="110" applyFont="1" applyAlignment="1">
      <alignment horizontal="center" vertical="center" wrapText="1"/>
    </xf>
    <xf numFmtId="0" fontId="6" fillId="0" borderId="0" xfId="107" applyAlignment="1">
      <alignment horizontal="right" vertical="center"/>
    </xf>
    <xf numFmtId="0" fontId="42" fillId="25" borderId="0" xfId="107" applyFont="1" applyFill="1" applyAlignment="1">
      <alignment horizontal="center" vertical="center"/>
    </xf>
    <xf numFmtId="0" fontId="4" fillId="0" borderId="47" xfId="0" applyFont="1" applyBorder="1" applyAlignment="1">
      <alignment horizontal="center" vertical="top" wrapText="1"/>
    </xf>
    <xf numFmtId="14" fontId="4" fillId="0" borderId="48" xfId="0" applyNumberFormat="1" applyFont="1" applyBorder="1" applyAlignment="1">
      <alignment horizontal="center" vertical="top" wrapText="1"/>
    </xf>
    <xf numFmtId="0" fontId="4" fillId="26" borderId="16" xfId="0" applyFont="1" applyFill="1" applyBorder="1" applyAlignment="1">
      <alignment horizontal="center" vertical="center" wrapText="1"/>
    </xf>
    <xf numFmtId="0" fontId="0" fillId="0" borderId="4" xfId="0" applyBorder="1" applyAlignment="1"/>
    <xf numFmtId="0" fontId="4" fillId="28" borderId="19" xfId="108" applyFont="1" applyFill="1" applyBorder="1" applyAlignment="1">
      <alignment horizontal="left" vertical="top" wrapText="1"/>
    </xf>
    <xf numFmtId="0" fontId="4" fillId="28" borderId="4" xfId="108" applyFont="1" applyFill="1" applyBorder="1" applyAlignment="1">
      <alignment horizontal="center" vertical="center" wrapText="1"/>
    </xf>
    <xf numFmtId="0" fontId="4" fillId="28" borderId="3" xfId="109" applyFont="1" applyFill="1" applyBorder="1" applyAlignment="1">
      <alignment horizontal="left" vertical="top" wrapText="1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top" wrapText="1"/>
    </xf>
    <xf numFmtId="0" fontId="4" fillId="29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29" borderId="16" xfId="0" applyFont="1" applyFill="1" applyBorder="1" applyAlignment="1">
      <alignment horizontal="left" vertical="center" wrapText="1"/>
    </xf>
    <xf numFmtId="0" fontId="4" fillId="29" borderId="17" xfId="0" applyFont="1" applyFill="1" applyBorder="1" applyAlignment="1">
      <alignment horizontal="center" vertical="top" wrapText="1"/>
    </xf>
    <xf numFmtId="0" fontId="4" fillId="29" borderId="49" xfId="0" applyFont="1" applyFill="1" applyBorder="1" applyAlignment="1">
      <alignment horizontal="center" vertical="top" wrapText="1"/>
    </xf>
    <xf numFmtId="0" fontId="4" fillId="29" borderId="50" xfId="0" applyFont="1" applyFill="1" applyBorder="1" applyAlignment="1">
      <alignment vertical="top" wrapText="1"/>
    </xf>
    <xf numFmtId="0" fontId="4" fillId="29" borderId="3" xfId="0" applyFont="1" applyFill="1" applyBorder="1" applyAlignment="1">
      <alignment vertical="top" wrapText="1"/>
    </xf>
    <xf numFmtId="0" fontId="4" fillId="29" borderId="19" xfId="0" applyFont="1" applyFill="1" applyBorder="1" applyAlignment="1">
      <alignment horizontal="left" vertical="top" wrapText="1"/>
    </xf>
    <xf numFmtId="0" fontId="4" fillId="29" borderId="40" xfId="0" applyFont="1" applyFill="1" applyBorder="1" applyAlignment="1">
      <alignment horizontal="left" vertical="top" wrapText="1"/>
    </xf>
    <xf numFmtId="0" fontId="4" fillId="0" borderId="17" xfId="0" applyFont="1" applyBorder="1" applyAlignment="1">
      <alignment horizontal="right" vertical="top" wrapText="1"/>
    </xf>
    <xf numFmtId="0" fontId="4" fillId="30" borderId="49" xfId="0" applyFont="1" applyFill="1" applyBorder="1" applyAlignment="1">
      <alignment horizontal="left" vertical="top" wrapText="1"/>
    </xf>
    <xf numFmtId="0" fontId="4" fillId="30" borderId="51" xfId="0" applyFont="1" applyFill="1" applyBorder="1" applyAlignment="1">
      <alignment horizontal="left" vertical="top" wrapText="1"/>
    </xf>
    <xf numFmtId="0" fontId="4" fillId="30" borderId="19" xfId="0" applyFont="1" applyFill="1" applyBorder="1" applyAlignment="1">
      <alignment horizontal="center" vertical="center" wrapText="1"/>
    </xf>
    <xf numFmtId="0" fontId="4" fillId="30" borderId="4" xfId="0" applyFont="1" applyFill="1" applyBorder="1" applyAlignment="1">
      <alignment horizontal="center" vertical="center" wrapText="1"/>
    </xf>
    <xf numFmtId="0" fontId="4" fillId="0" borderId="49" xfId="0" applyFont="1" applyBorder="1" applyAlignment="1">
      <alignment horizontal="left" vertical="top" wrapText="1"/>
    </xf>
    <xf numFmtId="0" fontId="4" fillId="0" borderId="50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center" vertical="center" wrapText="1"/>
    </xf>
    <xf numFmtId="0" fontId="4" fillId="30" borderId="50" xfId="0" applyFont="1" applyFill="1" applyBorder="1" applyAlignment="1">
      <alignment horizontal="left" vertical="top" wrapText="1"/>
    </xf>
    <xf numFmtId="0" fontId="4" fillId="29" borderId="20" xfId="0" applyFont="1" applyFill="1" applyBorder="1" applyAlignment="1">
      <alignment horizontal="left" vertical="top" wrapText="1"/>
    </xf>
    <xf numFmtId="0" fontId="4" fillId="29" borderId="3" xfId="0" applyFont="1" applyFill="1" applyBorder="1" applyAlignment="1">
      <alignment horizontal="right" vertical="top" wrapText="1"/>
    </xf>
    <xf numFmtId="0" fontId="4" fillId="29" borderId="49" xfId="0" applyFont="1" applyFill="1" applyBorder="1" applyAlignment="1">
      <alignment horizontal="left" vertical="top" wrapText="1"/>
    </xf>
    <xf numFmtId="0" fontId="4" fillId="29" borderId="50" xfId="0" applyFont="1" applyFill="1" applyBorder="1" applyAlignment="1">
      <alignment horizontal="left" vertical="top" wrapText="1"/>
    </xf>
    <xf numFmtId="0" fontId="4" fillId="29" borderId="3" xfId="0" applyFont="1" applyFill="1" applyBorder="1" applyAlignment="1">
      <alignment horizontal="center" vertical="center" wrapText="1"/>
    </xf>
    <xf numFmtId="0" fontId="4" fillId="29" borderId="19" xfId="0" applyFont="1" applyFill="1" applyBorder="1" applyAlignment="1">
      <alignment horizontal="center" vertical="center" wrapText="1"/>
    </xf>
    <xf numFmtId="0" fontId="4" fillId="0" borderId="52" xfId="0" applyFont="1" applyBorder="1" applyAlignment="1">
      <alignment horizontal="left" vertical="top" wrapText="1"/>
    </xf>
    <xf numFmtId="0" fontId="4" fillId="0" borderId="53" xfId="0" applyFont="1" applyBorder="1" applyAlignment="1">
      <alignment horizontal="center" vertical="center" wrapText="1"/>
    </xf>
    <xf numFmtId="0" fontId="4" fillId="29" borderId="3" xfId="0" applyFont="1" applyFill="1" applyBorder="1" applyAlignment="1">
      <alignment horizontal="left" vertical="top" wrapText="1"/>
    </xf>
    <xf numFmtId="0" fontId="4" fillId="29" borderId="54" xfId="0" applyFont="1" applyFill="1" applyBorder="1" applyAlignment="1">
      <alignment horizontal="left" vertical="top" wrapText="1"/>
    </xf>
    <xf numFmtId="0" fontId="4" fillId="29" borderId="54" xfId="0" applyFont="1" applyFill="1" applyBorder="1" applyAlignment="1">
      <alignment horizontal="center" vertical="center" wrapText="1"/>
    </xf>
    <xf numFmtId="0" fontId="4" fillId="29" borderId="4" xfId="0" applyFont="1" applyFill="1" applyBorder="1" applyAlignment="1">
      <alignment horizontal="center" vertical="top" wrapText="1"/>
    </xf>
    <xf numFmtId="0" fontId="4" fillId="29" borderId="19" xfId="0" applyFont="1" applyFill="1" applyBorder="1" applyAlignment="1">
      <alignment vertical="top" wrapText="1"/>
    </xf>
    <xf numFmtId="0" fontId="4" fillId="29" borderId="42" xfId="0" applyFont="1" applyFill="1" applyBorder="1" applyAlignment="1">
      <alignment horizontal="left" vertical="top" wrapText="1"/>
    </xf>
    <xf numFmtId="0" fontId="4" fillId="0" borderId="40" xfId="0" applyFont="1" applyBorder="1" applyAlignment="1">
      <alignment horizontal="right" vertical="top" wrapText="1"/>
    </xf>
    <xf numFmtId="0" fontId="4" fillId="0" borderId="18" xfId="0" applyFont="1" applyBorder="1" applyAlignment="1">
      <alignment horizontal="center" vertical="center" wrapText="1"/>
    </xf>
    <xf numFmtId="0" fontId="4" fillId="31" borderId="43" xfId="0" applyFont="1" applyFill="1" applyBorder="1" applyAlignment="1">
      <alignment horizontal="left" vertical="top" wrapText="1"/>
    </xf>
    <xf numFmtId="0" fontId="4" fillId="0" borderId="4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right" vertical="top" wrapText="1"/>
    </xf>
    <xf numFmtId="0" fontId="4" fillId="0" borderId="45" xfId="0" applyFont="1" applyBorder="1" applyAlignment="1">
      <alignment horizontal="left" vertical="top" wrapText="1"/>
    </xf>
    <xf numFmtId="0" fontId="4" fillId="0" borderId="41" xfId="0" applyFont="1" applyBorder="1" applyAlignment="1">
      <alignment horizontal="right" vertical="top" wrapText="1"/>
    </xf>
    <xf numFmtId="0" fontId="4" fillId="0" borderId="46" xfId="0" applyFont="1" applyBorder="1" applyAlignment="1">
      <alignment horizontal="left" vertical="top" wrapText="1"/>
    </xf>
    <xf numFmtId="0" fontId="4" fillId="29" borderId="20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/>
    <xf numFmtId="0" fontId="4" fillId="0" borderId="0" xfId="0" applyFont="1" applyAlignment="1">
      <alignment vertical="top" textRotation="255"/>
    </xf>
    <xf numFmtId="49" fontId="40" fillId="27" borderId="4" xfId="0" applyNumberFormat="1" applyFont="1" applyFill="1" applyBorder="1">
      <alignment vertical="center"/>
    </xf>
    <xf numFmtId="182" fontId="4" fillId="0" borderId="4" xfId="108" applyNumberFormat="1" applyFont="1" applyBorder="1" applyAlignment="1">
      <alignment horizontal="center" vertical="center" wrapText="1"/>
    </xf>
    <xf numFmtId="0" fontId="0" fillId="0" borderId="0" xfId="0" applyAlignment="1"/>
    <xf numFmtId="14" fontId="0" fillId="0" borderId="4" xfId="0" applyNumberFormat="1" applyBorder="1" applyAlignment="1"/>
    <xf numFmtId="0" fontId="0" fillId="0" borderId="4" xfId="0" applyBorder="1">
      <alignment vertical="center"/>
    </xf>
    <xf numFmtId="14" fontId="0" fillId="0" borderId="4" xfId="0" applyNumberFormat="1" applyBorder="1">
      <alignment vertic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/>
    <xf numFmtId="0" fontId="28" fillId="0" borderId="21" xfId="107" applyFont="1" applyBorder="1" applyAlignment="1">
      <alignment horizontal="center" vertical="center"/>
    </xf>
    <xf numFmtId="0" fontId="28" fillId="0" borderId="22" xfId="107" applyFont="1" applyBorder="1" applyAlignment="1">
      <alignment horizontal="center" vertical="center"/>
    </xf>
    <xf numFmtId="0" fontId="28" fillId="0" borderId="23" xfId="107" applyFont="1" applyBorder="1" applyAlignment="1">
      <alignment horizontal="center" vertical="center"/>
    </xf>
    <xf numFmtId="0" fontId="6" fillId="26" borderId="24" xfId="107" applyFill="1" applyBorder="1" applyAlignment="1">
      <alignment horizontal="center" vertical="center"/>
    </xf>
    <xf numFmtId="0" fontId="6" fillId="26" borderId="25" xfId="107" applyFill="1" applyBorder="1" applyAlignment="1">
      <alignment horizontal="center" vertical="center"/>
    </xf>
    <xf numFmtId="0" fontId="6" fillId="26" borderId="26" xfId="107" applyFill="1" applyBorder="1" applyAlignment="1">
      <alignment horizontal="center" vertical="center"/>
    </xf>
    <xf numFmtId="0" fontId="43" fillId="26" borderId="21" xfId="107" applyFont="1" applyFill="1" applyBorder="1" applyAlignment="1">
      <alignment horizontal="center" vertical="center" shrinkToFit="1"/>
    </xf>
    <xf numFmtId="0" fontId="43" fillId="26" borderId="22" xfId="107" applyFont="1" applyFill="1" applyBorder="1" applyAlignment="1">
      <alignment horizontal="center" vertical="center" shrinkToFit="1"/>
    </xf>
    <xf numFmtId="0" fontId="43" fillId="26" borderId="27" xfId="107" applyFont="1" applyFill="1" applyBorder="1" applyAlignment="1">
      <alignment horizontal="center" vertical="center" shrinkToFit="1"/>
    </xf>
    <xf numFmtId="49" fontId="43" fillId="0" borderId="28" xfId="107" applyNumberFormat="1" applyFont="1" applyBorder="1" applyAlignment="1">
      <alignment horizontal="center" vertical="center" wrapText="1"/>
    </xf>
    <xf numFmtId="49" fontId="43" fillId="0" borderId="22" xfId="107" applyNumberFormat="1" applyFont="1" applyBorder="1" applyAlignment="1">
      <alignment horizontal="center" vertical="center" wrapText="1"/>
    </xf>
    <xf numFmtId="49" fontId="43" fillId="0" borderId="23" xfId="107" applyNumberFormat="1" applyFont="1" applyBorder="1" applyAlignment="1">
      <alignment horizontal="center" vertical="center" wrapText="1"/>
    </xf>
    <xf numFmtId="49" fontId="43" fillId="0" borderId="28" xfId="107" applyNumberFormat="1" applyFont="1" applyBorder="1" applyAlignment="1">
      <alignment horizontal="left" vertical="center" wrapText="1"/>
    </xf>
    <xf numFmtId="49" fontId="43" fillId="0" borderId="22" xfId="107" applyNumberFormat="1" applyFont="1" applyBorder="1" applyAlignment="1">
      <alignment horizontal="left" vertical="center" wrapText="1"/>
    </xf>
    <xf numFmtId="49" fontId="43" fillId="0" borderId="23" xfId="107" applyNumberFormat="1" applyFont="1" applyBorder="1" applyAlignment="1">
      <alignment horizontal="left" vertical="center" wrapText="1"/>
    </xf>
    <xf numFmtId="0" fontId="42" fillId="25" borderId="0" xfId="107" applyFont="1" applyFill="1" applyAlignment="1">
      <alignment horizontal="center" vertical="center"/>
    </xf>
    <xf numFmtId="0" fontId="6" fillId="25" borderId="0" xfId="107" applyFill="1" applyAlignment="1">
      <alignment horizontal="center" vertical="center"/>
    </xf>
    <xf numFmtId="0" fontId="43" fillId="26" borderId="29" xfId="107" applyFont="1" applyFill="1" applyBorder="1" applyAlignment="1">
      <alignment horizontal="center" vertical="center" shrinkToFit="1"/>
    </xf>
    <xf numFmtId="0" fontId="43" fillId="26" borderId="3" xfId="107" applyFont="1" applyFill="1" applyBorder="1" applyAlignment="1">
      <alignment horizontal="center" vertical="center" shrinkToFit="1"/>
    </xf>
    <xf numFmtId="0" fontId="43" fillId="26" borderId="19" xfId="107" applyFont="1" applyFill="1" applyBorder="1" applyAlignment="1">
      <alignment horizontal="center" vertical="center" shrinkToFit="1"/>
    </xf>
    <xf numFmtId="49" fontId="25" fillId="0" borderId="17" xfId="107" applyNumberFormat="1" applyFont="1" applyBorder="1" applyAlignment="1">
      <alignment horizontal="left" vertical="center" wrapText="1"/>
    </xf>
    <xf numFmtId="49" fontId="25" fillId="0" borderId="3" xfId="107" applyNumberFormat="1" applyFont="1" applyBorder="1" applyAlignment="1">
      <alignment horizontal="left" vertical="center" wrapText="1"/>
    </xf>
    <xf numFmtId="49" fontId="25" fillId="0" borderId="30" xfId="107" applyNumberFormat="1" applyFont="1" applyBorder="1" applyAlignment="1">
      <alignment horizontal="left" vertical="center" wrapText="1"/>
    </xf>
    <xf numFmtId="49" fontId="25" fillId="0" borderId="17" xfId="107" applyNumberFormat="1" applyFont="1" applyBorder="1" applyAlignment="1">
      <alignment horizontal="center" vertical="center" wrapText="1"/>
    </xf>
    <xf numFmtId="49" fontId="25" fillId="0" borderId="3" xfId="107" applyNumberFormat="1" applyFont="1" applyBorder="1" applyAlignment="1">
      <alignment horizontal="center" vertical="center" wrapText="1"/>
    </xf>
    <xf numFmtId="49" fontId="25" fillId="0" borderId="30" xfId="107" applyNumberFormat="1" applyFont="1" applyBorder="1" applyAlignment="1">
      <alignment horizontal="center" vertical="center" wrapText="1"/>
    </xf>
    <xf numFmtId="0" fontId="25" fillId="0" borderId="17" xfId="107" applyFont="1" applyBorder="1" applyAlignment="1">
      <alignment horizontal="left" vertical="center" wrapText="1"/>
    </xf>
    <xf numFmtId="0" fontId="25" fillId="26" borderId="29" xfId="107" applyFont="1" applyFill="1" applyBorder="1" applyAlignment="1">
      <alignment horizontal="center" vertical="center" shrinkToFit="1"/>
    </xf>
    <xf numFmtId="0" fontId="25" fillId="26" borderId="3" xfId="107" applyFont="1" applyFill="1" applyBorder="1" applyAlignment="1">
      <alignment horizontal="center" vertical="center" shrinkToFit="1"/>
    </xf>
    <xf numFmtId="0" fontId="25" fillId="26" borderId="19" xfId="107" applyFont="1" applyFill="1" applyBorder="1" applyAlignment="1">
      <alignment horizontal="center" vertical="center" shrinkToFit="1"/>
    </xf>
    <xf numFmtId="0" fontId="24" fillId="26" borderId="31" xfId="107" applyFont="1" applyFill="1" applyBorder="1" applyAlignment="1">
      <alignment horizontal="center" vertical="center" wrapText="1"/>
    </xf>
    <xf numFmtId="0" fontId="24" fillId="26" borderId="32" xfId="107" applyFont="1" applyFill="1" applyBorder="1" applyAlignment="1">
      <alignment horizontal="center" vertical="center"/>
    </xf>
    <xf numFmtId="0" fontId="24" fillId="26" borderId="33" xfId="107" applyFont="1" applyFill="1" applyBorder="1" applyAlignment="1">
      <alignment horizontal="center" vertical="center"/>
    </xf>
    <xf numFmtId="0" fontId="24" fillId="26" borderId="34" xfId="107" applyFont="1" applyFill="1" applyBorder="1" applyAlignment="1">
      <alignment horizontal="center" vertical="center"/>
    </xf>
    <xf numFmtId="0" fontId="24" fillId="26" borderId="0" xfId="107" applyFont="1" applyFill="1" applyAlignment="1">
      <alignment horizontal="center" vertical="center"/>
    </xf>
    <xf numFmtId="0" fontId="24" fillId="26" borderId="35" xfId="107" applyFont="1" applyFill="1" applyBorder="1" applyAlignment="1">
      <alignment horizontal="center" vertical="center"/>
    </xf>
    <xf numFmtId="0" fontId="24" fillId="26" borderId="36" xfId="107" applyFont="1" applyFill="1" applyBorder="1" applyAlignment="1">
      <alignment horizontal="center" vertical="center"/>
    </xf>
    <xf numFmtId="0" fontId="24" fillId="26" borderId="5" xfId="107" applyFont="1" applyFill="1" applyBorder="1" applyAlignment="1">
      <alignment horizontal="center" vertical="center"/>
    </xf>
    <xf numFmtId="0" fontId="24" fillId="26" borderId="37" xfId="107" applyFont="1" applyFill="1" applyBorder="1" applyAlignment="1">
      <alignment horizontal="center" vertical="center"/>
    </xf>
    <xf numFmtId="0" fontId="25" fillId="26" borderId="24" xfId="107" applyFont="1" applyFill="1" applyBorder="1" applyAlignment="1">
      <alignment horizontal="center" vertical="center" shrinkToFit="1"/>
    </xf>
    <xf numFmtId="0" fontId="25" fillId="26" borderId="25" xfId="107" applyFont="1" applyFill="1" applyBorder="1" applyAlignment="1">
      <alignment horizontal="center" vertical="center" shrinkToFit="1"/>
    </xf>
    <xf numFmtId="0" fontId="25" fillId="26" borderId="38" xfId="107" applyFont="1" applyFill="1" applyBorder="1" applyAlignment="1">
      <alignment horizontal="center" vertical="center" shrinkToFit="1"/>
    </xf>
    <xf numFmtId="49" fontId="25" fillId="0" borderId="39" xfId="107" applyNumberFormat="1" applyFont="1" applyBorder="1" applyAlignment="1">
      <alignment horizontal="left" vertical="center" wrapText="1"/>
    </xf>
    <xf numFmtId="49" fontId="25" fillId="0" borderId="25" xfId="107" applyNumberFormat="1" applyFont="1" applyBorder="1" applyAlignment="1">
      <alignment horizontal="left" vertical="center" wrapText="1"/>
    </xf>
    <xf numFmtId="49" fontId="25" fillId="0" borderId="26" xfId="107" applyNumberFormat="1" applyFont="1" applyBorder="1" applyAlignment="1">
      <alignment horizontal="left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top" wrapText="1"/>
    </xf>
    <xf numFmtId="0" fontId="4" fillId="0" borderId="41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41" xfId="0" applyFont="1" applyBorder="1" applyAlignment="1">
      <alignment horizontal="left" vertical="top" wrapText="1"/>
    </xf>
    <xf numFmtId="0" fontId="4" fillId="0" borderId="0" xfId="0" applyFont="1">
      <alignment vertical="center"/>
    </xf>
    <xf numFmtId="0" fontId="4" fillId="0" borderId="3" xfId="0" applyFont="1" applyBorder="1" applyAlignment="1">
      <alignment vertical="top" textRotation="255"/>
    </xf>
  </cellXfs>
  <cellStyles count="131">
    <cellStyle name="20% - アクセント 1 2" xfId="1" xr:uid="{00000000-0005-0000-0000-000000000000}"/>
    <cellStyle name="20% - アクセント 1 3" xfId="2" xr:uid="{00000000-0005-0000-0000-000001000000}"/>
    <cellStyle name="20% - アクセント 2 2" xfId="3" xr:uid="{00000000-0005-0000-0000-000002000000}"/>
    <cellStyle name="20% - アクセント 2 3" xfId="4" xr:uid="{00000000-0005-0000-0000-000003000000}"/>
    <cellStyle name="20% - アクセント 3 2" xfId="5" xr:uid="{00000000-0005-0000-0000-000004000000}"/>
    <cellStyle name="20% - アクセント 3 3" xfId="6" xr:uid="{00000000-0005-0000-0000-000005000000}"/>
    <cellStyle name="20% - アクセント 4 2" xfId="7" xr:uid="{00000000-0005-0000-0000-000006000000}"/>
    <cellStyle name="20% - アクセント 4 3" xfId="8" xr:uid="{00000000-0005-0000-0000-000007000000}"/>
    <cellStyle name="20% - アクセント 5 2" xfId="9" xr:uid="{00000000-0005-0000-0000-000008000000}"/>
    <cellStyle name="20% - アクセント 5 3" xfId="10" xr:uid="{00000000-0005-0000-0000-000009000000}"/>
    <cellStyle name="20% - アクセント 6 2" xfId="11" xr:uid="{00000000-0005-0000-0000-00000A000000}"/>
    <cellStyle name="20% - アクセント 6 3" xfId="12" xr:uid="{00000000-0005-0000-0000-00000B000000}"/>
    <cellStyle name="40% - アクセント 1 2" xfId="13" xr:uid="{00000000-0005-0000-0000-00000C000000}"/>
    <cellStyle name="40% - アクセント 1 3" xfId="14" xr:uid="{00000000-0005-0000-0000-00000D000000}"/>
    <cellStyle name="40% - アクセント 2 2" xfId="15" xr:uid="{00000000-0005-0000-0000-00000E000000}"/>
    <cellStyle name="40% - アクセント 2 3" xfId="16" xr:uid="{00000000-0005-0000-0000-00000F000000}"/>
    <cellStyle name="40% - アクセント 3 2" xfId="17" xr:uid="{00000000-0005-0000-0000-000010000000}"/>
    <cellStyle name="40% - アクセント 3 3" xfId="18" xr:uid="{00000000-0005-0000-0000-000011000000}"/>
    <cellStyle name="40% - アクセント 4 2" xfId="19" xr:uid="{00000000-0005-0000-0000-000012000000}"/>
    <cellStyle name="40% - アクセント 4 3" xfId="20" xr:uid="{00000000-0005-0000-0000-000013000000}"/>
    <cellStyle name="40% - アクセント 5 2" xfId="21" xr:uid="{00000000-0005-0000-0000-000014000000}"/>
    <cellStyle name="40% - アクセント 5 3" xfId="22" xr:uid="{00000000-0005-0000-0000-000015000000}"/>
    <cellStyle name="40% - アクセント 6 2" xfId="23" xr:uid="{00000000-0005-0000-0000-000016000000}"/>
    <cellStyle name="40% - アクセント 6 3" xfId="24" xr:uid="{00000000-0005-0000-0000-000017000000}"/>
    <cellStyle name="60% - アクセント 1 2" xfId="25" xr:uid="{00000000-0005-0000-0000-000018000000}"/>
    <cellStyle name="60% - アクセント 1 3" xfId="26" xr:uid="{00000000-0005-0000-0000-000019000000}"/>
    <cellStyle name="60% - アクセント 2 2" xfId="27" xr:uid="{00000000-0005-0000-0000-00001A000000}"/>
    <cellStyle name="60% - アクセント 2 3" xfId="28" xr:uid="{00000000-0005-0000-0000-00001B000000}"/>
    <cellStyle name="60% - アクセント 3 2" xfId="29" xr:uid="{00000000-0005-0000-0000-00001C000000}"/>
    <cellStyle name="60% - アクセント 3 3" xfId="30" xr:uid="{00000000-0005-0000-0000-00001D000000}"/>
    <cellStyle name="60% - アクセント 4 2" xfId="31" xr:uid="{00000000-0005-0000-0000-00001E000000}"/>
    <cellStyle name="60% - アクセント 4 3" xfId="32" xr:uid="{00000000-0005-0000-0000-00001F000000}"/>
    <cellStyle name="60% - アクセント 5 2" xfId="33" xr:uid="{00000000-0005-0000-0000-000020000000}"/>
    <cellStyle name="60% - アクセント 5 3" xfId="34" xr:uid="{00000000-0005-0000-0000-000021000000}"/>
    <cellStyle name="60% - アクセント 6 2" xfId="35" xr:uid="{00000000-0005-0000-0000-000022000000}"/>
    <cellStyle name="60% - アクセント 6 3" xfId="36" xr:uid="{00000000-0005-0000-0000-000023000000}"/>
    <cellStyle name="BD標準" xfId="37" xr:uid="{00000000-0005-0000-0000-000024000000}"/>
    <cellStyle name="Border" xfId="38" xr:uid="{00000000-0005-0000-0000-000025000000}"/>
    <cellStyle name="Calc Currency (0)" xfId="39" xr:uid="{00000000-0005-0000-0000-000026000000}"/>
    <cellStyle name="category" xfId="40" xr:uid="{00000000-0005-0000-0000-000027000000}"/>
    <cellStyle name="Comma [0]_CCOCPX" xfId="41" xr:uid="{00000000-0005-0000-0000-000028000000}"/>
    <cellStyle name="Comma_Capex" xfId="42" xr:uid="{00000000-0005-0000-0000-000029000000}"/>
    <cellStyle name="Currency [0]_CCOCPX" xfId="43" xr:uid="{00000000-0005-0000-0000-00002A000000}"/>
    <cellStyle name="Currency_CCOCPX" xfId="44" xr:uid="{00000000-0005-0000-0000-00002B000000}"/>
    <cellStyle name="Grey" xfId="45" xr:uid="{00000000-0005-0000-0000-00002C000000}"/>
    <cellStyle name="HEADER" xfId="46" xr:uid="{00000000-0005-0000-0000-00002D000000}"/>
    <cellStyle name="Header1" xfId="47" xr:uid="{00000000-0005-0000-0000-00002E000000}"/>
    <cellStyle name="Header2" xfId="48" xr:uid="{00000000-0005-0000-0000-00002F000000}"/>
    <cellStyle name="Input [yellow]" xfId="49" xr:uid="{00000000-0005-0000-0000-000030000000}"/>
    <cellStyle name="Model" xfId="50" xr:uid="{00000000-0005-0000-0000-000031000000}"/>
    <cellStyle name="Normal - Style1" xfId="51" xr:uid="{00000000-0005-0000-0000-000032000000}"/>
    <cellStyle name="Normal - Style1 2" xfId="52" xr:uid="{00000000-0005-0000-0000-000033000000}"/>
    <cellStyle name="Normal - Style1_001_【画面レイアウト】受発注・受注登録画面（ユーザ提示用）" xfId="53" xr:uid="{00000000-0005-0000-0000-000034000000}"/>
    <cellStyle name="Normal_#18-Internet" xfId="54" xr:uid="{00000000-0005-0000-0000-000035000000}"/>
    <cellStyle name="Percent [2]" xfId="55" xr:uid="{00000000-0005-0000-0000-000036000000}"/>
    <cellStyle name="PSChar" xfId="56" xr:uid="{00000000-0005-0000-0000-000037000000}"/>
    <cellStyle name="PSHeading" xfId="57" xr:uid="{00000000-0005-0000-0000-000038000000}"/>
    <cellStyle name="quest" xfId="58" xr:uid="{00000000-0005-0000-0000-000039000000}"/>
    <cellStyle name="subhead" xfId="59" xr:uid="{00000000-0005-0000-0000-00003A000000}"/>
    <cellStyle name="umeda" xfId="60" xr:uid="{00000000-0005-0000-0000-00003B000000}"/>
    <cellStyle name="アクセント 1 2" xfId="61" xr:uid="{00000000-0005-0000-0000-00003C000000}"/>
    <cellStyle name="アクセント 1 3" xfId="62" xr:uid="{00000000-0005-0000-0000-00003D000000}"/>
    <cellStyle name="アクセント 2 2" xfId="63" xr:uid="{00000000-0005-0000-0000-00003E000000}"/>
    <cellStyle name="アクセント 2 3" xfId="64" xr:uid="{00000000-0005-0000-0000-00003F000000}"/>
    <cellStyle name="アクセント 3 2" xfId="65" xr:uid="{00000000-0005-0000-0000-000040000000}"/>
    <cellStyle name="アクセント 3 3" xfId="66" xr:uid="{00000000-0005-0000-0000-000041000000}"/>
    <cellStyle name="アクセント 4 2" xfId="67" xr:uid="{00000000-0005-0000-0000-000042000000}"/>
    <cellStyle name="アクセント 4 3" xfId="68" xr:uid="{00000000-0005-0000-0000-000043000000}"/>
    <cellStyle name="アクセント 5 2" xfId="69" xr:uid="{00000000-0005-0000-0000-000044000000}"/>
    <cellStyle name="アクセント 5 3" xfId="70" xr:uid="{00000000-0005-0000-0000-000045000000}"/>
    <cellStyle name="アクセント 6 2" xfId="71" xr:uid="{00000000-0005-0000-0000-000046000000}"/>
    <cellStyle name="アクセント 6 3" xfId="72" xr:uid="{00000000-0005-0000-0000-000047000000}"/>
    <cellStyle name="タイトル 2" xfId="73" xr:uid="{00000000-0005-0000-0000-000048000000}"/>
    <cellStyle name="タイトル 3" xfId="74" xr:uid="{00000000-0005-0000-0000-000049000000}"/>
    <cellStyle name="チェック セル 2" xfId="75" xr:uid="{00000000-0005-0000-0000-00004A000000}"/>
    <cellStyle name="チェック セル 3" xfId="76" xr:uid="{00000000-0005-0000-0000-00004B000000}"/>
    <cellStyle name="どちらでもない 2" xfId="77" xr:uid="{00000000-0005-0000-0000-00004C000000}"/>
    <cellStyle name="どちらでもない 3" xfId="78" xr:uid="{00000000-0005-0000-0000-00004D000000}"/>
    <cellStyle name="パーセント 2" xfId="129" xr:uid="{8280C438-1AB7-478F-9305-5196EBE7F61D}"/>
    <cellStyle name="メモ 2" xfId="79" xr:uid="{00000000-0005-0000-0000-00004E000000}"/>
    <cellStyle name="メモ 3" xfId="80" xr:uid="{00000000-0005-0000-0000-00004F000000}"/>
    <cellStyle name="リンク セル 2" xfId="81" xr:uid="{00000000-0005-0000-0000-000050000000}"/>
    <cellStyle name="リンク セル 3" xfId="82" xr:uid="{00000000-0005-0000-0000-000051000000}"/>
    <cellStyle name="悪い 2" xfId="83" xr:uid="{00000000-0005-0000-0000-000052000000}"/>
    <cellStyle name="悪い 3" xfId="84" xr:uid="{00000000-0005-0000-0000-000053000000}"/>
    <cellStyle name="計算 2" xfId="85" xr:uid="{00000000-0005-0000-0000-000054000000}"/>
    <cellStyle name="計算 3" xfId="86" xr:uid="{00000000-0005-0000-0000-000055000000}"/>
    <cellStyle name="警告文 2" xfId="87" xr:uid="{00000000-0005-0000-0000-000056000000}"/>
    <cellStyle name="警告文 3" xfId="88" xr:uid="{00000000-0005-0000-0000-000057000000}"/>
    <cellStyle name="見出し 1 2" xfId="89" xr:uid="{00000000-0005-0000-0000-000058000000}"/>
    <cellStyle name="見出し 1 3" xfId="90" xr:uid="{00000000-0005-0000-0000-000059000000}"/>
    <cellStyle name="見出し 2 2" xfId="91" xr:uid="{00000000-0005-0000-0000-00005A000000}"/>
    <cellStyle name="見出し 2 3" xfId="92" xr:uid="{00000000-0005-0000-0000-00005B000000}"/>
    <cellStyle name="見出し 3 2" xfId="93" xr:uid="{00000000-0005-0000-0000-00005C000000}"/>
    <cellStyle name="見出し 3 3" xfId="94" xr:uid="{00000000-0005-0000-0000-00005D000000}"/>
    <cellStyle name="見出し 4 2" xfId="95" xr:uid="{00000000-0005-0000-0000-00005E000000}"/>
    <cellStyle name="見出し 4 3" xfId="96" xr:uid="{00000000-0005-0000-0000-00005F000000}"/>
    <cellStyle name="集計 2" xfId="97" xr:uid="{00000000-0005-0000-0000-000060000000}"/>
    <cellStyle name="集計 3" xfId="98" xr:uid="{00000000-0005-0000-0000-000061000000}"/>
    <cellStyle name="出力 2" xfId="99" xr:uid="{00000000-0005-0000-0000-000062000000}"/>
    <cellStyle name="出力 3" xfId="100" xr:uid="{00000000-0005-0000-0000-000063000000}"/>
    <cellStyle name="説明文 2" xfId="101" xr:uid="{00000000-0005-0000-0000-000064000000}"/>
    <cellStyle name="説明文 3" xfId="102" xr:uid="{00000000-0005-0000-0000-000065000000}"/>
    <cellStyle name="追加スタイル（梅田）" xfId="103" xr:uid="{00000000-0005-0000-0000-000066000000}"/>
    <cellStyle name="入力 2" xfId="104" xr:uid="{00000000-0005-0000-0000-000067000000}"/>
    <cellStyle name="入力 3" xfId="105" xr:uid="{00000000-0005-0000-0000-000068000000}"/>
    <cellStyle name="標準" xfId="0" builtinId="0"/>
    <cellStyle name="標準 2" xfId="106" xr:uid="{00000000-0005-0000-0000-00006A000000}"/>
    <cellStyle name="標準 3" xfId="107" xr:uid="{00000000-0005-0000-0000-00006B000000}"/>
    <cellStyle name="標準 3 2" xfId="126" xr:uid="{D5DDE0B4-2D27-4635-875F-069E5CAF4BA7}"/>
    <cellStyle name="標準 4" xfId="128" xr:uid="{16B04D87-7E03-4F81-B0D8-CF50D5BB2C61}"/>
    <cellStyle name="標準 4 2" xfId="125" xr:uid="{2CAC4627-D577-4372-B290-CC30CC59EF4E}"/>
    <cellStyle name="標準 4 2 2" xfId="127" xr:uid="{2545D5C4-F00D-4918-9AEF-391F2E6CFA05}"/>
    <cellStyle name="標準 5" xfId="130" xr:uid="{AB5B7700-E181-4F28-BD79-FED713865CEA}"/>
    <cellStyle name="標準_05_単体テスト仕様書フォーマット" xfId="108" xr:uid="{00000000-0005-0000-0000-00006D000000}"/>
    <cellStyle name="標準_単体テスト仕様書Sample(PContBL)" xfId="109" xr:uid="{00000000-0005-0000-0000-00006E000000}"/>
    <cellStyle name="標準_値リスト" xfId="110" xr:uid="{00000000-0005-0000-0000-00006F000000}"/>
    <cellStyle name="標準仕様書" xfId="111" xr:uid="{00000000-0005-0000-0000-000070000000}"/>
    <cellStyle name="未定義" xfId="112" xr:uid="{00000000-0005-0000-0000-000071000000}"/>
    <cellStyle name="良い 2" xfId="113" xr:uid="{00000000-0005-0000-0000-000072000000}"/>
    <cellStyle name="良い 3" xfId="114" xr:uid="{00000000-0005-0000-0000-000073000000}"/>
    <cellStyle name="㼿" xfId="115" xr:uid="{00000000-0005-0000-0000-000074000000}"/>
    <cellStyle name="㼿?" xfId="116" xr:uid="{00000000-0005-0000-0000-000075000000}"/>
    <cellStyle name="㼿㼿" xfId="117" xr:uid="{00000000-0005-0000-0000-000076000000}"/>
    <cellStyle name="㼿㼿?" xfId="118" xr:uid="{00000000-0005-0000-0000-000077000000}"/>
    <cellStyle name="㼿㼿㼿" xfId="119" xr:uid="{00000000-0005-0000-0000-000078000000}"/>
    <cellStyle name="㼿㼿㼿?" xfId="120" xr:uid="{00000000-0005-0000-0000-000079000000}"/>
    <cellStyle name="㼿㼿㼿㼿" xfId="121" xr:uid="{00000000-0005-0000-0000-00007A000000}"/>
    <cellStyle name="㼿㼿㼿㼿?" xfId="122" xr:uid="{00000000-0005-0000-0000-00007B000000}"/>
    <cellStyle name="㼿㼿㼿㼿㼿㼿?" xfId="123" xr:uid="{00000000-0005-0000-0000-00007C000000}"/>
    <cellStyle name="㼿㼿㼿㼿㼿㼿㼿?" xfId="124" xr:uid="{00000000-0005-0000-0000-00007D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/>
        </a:solidFill>
        <a:ln>
          <a:solidFill>
            <a:srgbClr val="FF0000"/>
          </a:solidFill>
        </a:ln>
      </a:spPr>
      <a:bodyPr vertOverflow="clip" horzOverflow="clip" rtlCol="0" anchor="t"/>
      <a:lstStyle>
        <a:defPPr algn="l">
          <a:defRPr kumimoji="1" sz="1100" kern="1200">
            <a:solidFill>
              <a:schemeClr val="tx1"/>
            </a:solidFill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W27"/>
  <sheetViews>
    <sheetView zoomScaleNormal="100" workbookViewId="0"/>
  </sheetViews>
  <sheetFormatPr defaultColWidth="3" defaultRowHeight="13.5" x14ac:dyDescent="0.15"/>
  <cols>
    <col min="1" max="55" width="3" style="8"/>
    <col min="56" max="56" width="4.625" style="8" bestFit="1" customWidth="1"/>
    <col min="57" max="58" width="3" style="8"/>
    <col min="59" max="59" width="4.625" style="8" bestFit="1" customWidth="1"/>
    <col min="60" max="16384" width="3" style="8"/>
  </cols>
  <sheetData>
    <row r="1" spans="1:49" x14ac:dyDescent="0.15">
      <c r="AQ1" s="30" t="s">
        <v>0</v>
      </c>
    </row>
    <row r="2" spans="1:49" x14ac:dyDescent="0.15">
      <c r="AQ2" s="30"/>
    </row>
    <row r="3" spans="1:49" ht="14.25" thickBot="1" x14ac:dyDescent="0.2"/>
    <row r="4" spans="1:49" x14ac:dyDescent="0.15">
      <c r="A4" s="126" t="s">
        <v>1</v>
      </c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7"/>
      <c r="AQ4" s="127"/>
      <c r="AR4" s="127"/>
      <c r="AS4" s="127"/>
      <c r="AT4" s="127"/>
      <c r="AU4" s="127"/>
      <c r="AV4" s="127"/>
      <c r="AW4" s="128"/>
    </row>
    <row r="5" spans="1:49" x14ac:dyDescent="0.15">
      <c r="A5" s="129"/>
      <c r="B5" s="130"/>
      <c r="C5" s="130"/>
      <c r="D5" s="130"/>
      <c r="E5" s="130"/>
      <c r="F5" s="130"/>
      <c r="G5" s="130"/>
      <c r="H5" s="130"/>
      <c r="I5" s="130"/>
      <c r="J5" s="130"/>
      <c r="K5" s="130"/>
      <c r="L5" s="130"/>
      <c r="M5" s="130"/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/>
      <c r="Y5" s="130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  <c r="AM5" s="130"/>
      <c r="AN5" s="130"/>
      <c r="AO5" s="130"/>
      <c r="AP5" s="130"/>
      <c r="AQ5" s="130"/>
      <c r="AR5" s="130"/>
      <c r="AS5" s="130"/>
      <c r="AT5" s="130"/>
      <c r="AU5" s="130"/>
      <c r="AV5" s="130"/>
      <c r="AW5" s="131"/>
    </row>
    <row r="6" spans="1:49" x14ac:dyDescent="0.15">
      <c r="A6" s="129"/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/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  <c r="AM6" s="130"/>
      <c r="AN6" s="130"/>
      <c r="AO6" s="130"/>
      <c r="AP6" s="130"/>
      <c r="AQ6" s="130"/>
      <c r="AR6" s="130"/>
      <c r="AS6" s="130"/>
      <c r="AT6" s="130"/>
      <c r="AU6" s="130"/>
      <c r="AV6" s="130"/>
      <c r="AW6" s="131"/>
    </row>
    <row r="7" spans="1:49" x14ac:dyDescent="0.15">
      <c r="A7" s="129"/>
      <c r="B7" s="130"/>
      <c r="C7" s="130"/>
      <c r="D7" s="130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/>
      <c r="AP7" s="130"/>
      <c r="AQ7" s="130"/>
      <c r="AR7" s="130"/>
      <c r="AS7" s="130"/>
      <c r="AT7" s="130"/>
      <c r="AU7" s="130"/>
      <c r="AV7" s="130"/>
      <c r="AW7" s="131"/>
    </row>
    <row r="8" spans="1:49" x14ac:dyDescent="0.15">
      <c r="A8" s="129"/>
      <c r="B8" s="130"/>
      <c r="C8" s="130"/>
      <c r="D8" s="130"/>
      <c r="E8" s="130"/>
      <c r="F8" s="130"/>
      <c r="G8" s="130"/>
      <c r="H8" s="130"/>
      <c r="I8" s="130"/>
      <c r="J8" s="130"/>
      <c r="K8" s="130"/>
      <c r="L8" s="130"/>
      <c r="M8" s="130"/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/>
      <c r="Y8" s="130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  <c r="AO8" s="130"/>
      <c r="AP8" s="130"/>
      <c r="AQ8" s="130"/>
      <c r="AR8" s="130"/>
      <c r="AS8" s="130"/>
      <c r="AT8" s="130"/>
      <c r="AU8" s="130"/>
      <c r="AV8" s="130"/>
      <c r="AW8" s="131"/>
    </row>
    <row r="9" spans="1:49" x14ac:dyDescent="0.15">
      <c r="A9" s="129"/>
      <c r="B9" s="130"/>
      <c r="C9" s="130"/>
      <c r="D9" s="130"/>
      <c r="E9" s="130"/>
      <c r="F9" s="130"/>
      <c r="G9" s="130"/>
      <c r="H9" s="130"/>
      <c r="I9" s="130"/>
      <c r="J9" s="130"/>
      <c r="K9" s="130"/>
      <c r="L9" s="130"/>
      <c r="M9" s="130"/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/>
      <c r="Y9" s="130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1"/>
    </row>
    <row r="10" spans="1:49" x14ac:dyDescent="0.15">
      <c r="A10" s="129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/>
      <c r="Y10" s="130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1"/>
    </row>
    <row r="11" spans="1:49" ht="14.25" thickBot="1" x14ac:dyDescent="0.2">
      <c r="A11" s="132"/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  <c r="AP11" s="133"/>
      <c r="AQ11" s="133"/>
      <c r="AR11" s="133"/>
      <c r="AS11" s="133"/>
      <c r="AT11" s="133"/>
      <c r="AU11" s="133"/>
      <c r="AV11" s="133"/>
      <c r="AW11" s="134"/>
    </row>
    <row r="13" spans="1:49" ht="14.25" thickBot="1" x14ac:dyDescent="0.2"/>
    <row r="14" spans="1:49" ht="26.25" customHeight="1" x14ac:dyDescent="0.15">
      <c r="A14" s="135" t="s">
        <v>2</v>
      </c>
      <c r="B14" s="136"/>
      <c r="C14" s="136"/>
      <c r="D14" s="136"/>
      <c r="E14" s="136"/>
      <c r="F14" s="136"/>
      <c r="G14" s="137"/>
      <c r="H14" s="138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40"/>
      <c r="X14" s="135" t="s">
        <v>3</v>
      </c>
      <c r="Y14" s="136"/>
      <c r="Z14" s="136"/>
      <c r="AA14" s="136"/>
      <c r="AB14" s="136"/>
      <c r="AC14" s="137"/>
      <c r="AD14" s="138"/>
      <c r="AE14" s="139"/>
      <c r="AF14" s="139"/>
      <c r="AG14" s="139"/>
      <c r="AH14" s="139"/>
      <c r="AI14" s="139"/>
      <c r="AJ14" s="139"/>
      <c r="AK14" s="139"/>
      <c r="AL14" s="139"/>
      <c r="AM14" s="139"/>
      <c r="AN14" s="139"/>
      <c r="AO14" s="139"/>
      <c r="AP14" s="139"/>
      <c r="AQ14" s="139"/>
      <c r="AR14" s="139"/>
      <c r="AS14" s="139"/>
      <c r="AT14" s="139"/>
      <c r="AU14" s="139"/>
      <c r="AV14" s="139"/>
      <c r="AW14" s="140"/>
    </row>
    <row r="15" spans="1:49" ht="26.25" customHeight="1" x14ac:dyDescent="0.15">
      <c r="A15" s="123" t="s">
        <v>4</v>
      </c>
      <c r="B15" s="124"/>
      <c r="C15" s="124"/>
      <c r="D15" s="124"/>
      <c r="E15" s="124"/>
      <c r="F15" s="124"/>
      <c r="G15" s="125"/>
      <c r="H15" s="116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8"/>
      <c r="X15" s="123" t="s">
        <v>5</v>
      </c>
      <c r="Y15" s="124"/>
      <c r="Z15" s="124"/>
      <c r="AA15" s="124"/>
      <c r="AB15" s="124"/>
      <c r="AC15" s="125"/>
      <c r="AD15" s="116"/>
      <c r="AE15" s="117"/>
      <c r="AF15" s="117"/>
      <c r="AG15" s="117"/>
      <c r="AH15" s="117"/>
      <c r="AI15" s="117"/>
      <c r="AJ15" s="117"/>
      <c r="AK15" s="117"/>
      <c r="AL15" s="117"/>
      <c r="AM15" s="117"/>
      <c r="AN15" s="117"/>
      <c r="AO15" s="117"/>
      <c r="AP15" s="117"/>
      <c r="AQ15" s="117"/>
      <c r="AR15" s="117"/>
      <c r="AS15" s="117"/>
      <c r="AT15" s="117"/>
      <c r="AU15" s="117"/>
      <c r="AV15" s="117"/>
      <c r="AW15" s="118"/>
    </row>
    <row r="16" spans="1:49" ht="26.25" customHeight="1" x14ac:dyDescent="0.15">
      <c r="A16" s="113" t="s">
        <v>6</v>
      </c>
      <c r="B16" s="114"/>
      <c r="C16" s="114"/>
      <c r="D16" s="114"/>
      <c r="E16" s="114"/>
      <c r="F16" s="114"/>
      <c r="G16" s="115"/>
      <c r="H16" s="116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8"/>
      <c r="X16" s="113" t="s">
        <v>7</v>
      </c>
      <c r="Y16" s="114"/>
      <c r="Z16" s="114"/>
      <c r="AA16" s="114"/>
      <c r="AB16" s="114"/>
      <c r="AC16" s="115"/>
      <c r="AD16" s="116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8"/>
    </row>
    <row r="17" spans="1:49" ht="26.25" customHeight="1" x14ac:dyDescent="0.15">
      <c r="A17" s="113" t="s">
        <v>8</v>
      </c>
      <c r="B17" s="114"/>
      <c r="C17" s="114"/>
      <c r="D17" s="114"/>
      <c r="E17" s="114"/>
      <c r="F17" s="114"/>
      <c r="G17" s="115"/>
      <c r="H17" s="116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8"/>
      <c r="X17" s="113" t="s">
        <v>9</v>
      </c>
      <c r="Y17" s="114"/>
      <c r="Z17" s="114"/>
      <c r="AA17" s="114"/>
      <c r="AB17" s="114"/>
      <c r="AC17" s="115"/>
      <c r="AD17" s="116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  <c r="AU17" s="117"/>
      <c r="AV17" s="117"/>
      <c r="AW17" s="118"/>
    </row>
    <row r="18" spans="1:49" ht="26.25" customHeight="1" x14ac:dyDescent="0.15">
      <c r="A18" s="113" t="s">
        <v>10</v>
      </c>
      <c r="B18" s="114"/>
      <c r="C18" s="114"/>
      <c r="D18" s="114"/>
      <c r="E18" s="114"/>
      <c r="F18" s="114"/>
      <c r="G18" s="115"/>
      <c r="H18" s="116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8"/>
      <c r="X18" s="113" t="s">
        <v>11</v>
      </c>
      <c r="Y18" s="114"/>
      <c r="Z18" s="114"/>
      <c r="AA18" s="114"/>
      <c r="AB18" s="114"/>
      <c r="AC18" s="115"/>
      <c r="AD18" s="116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7"/>
      <c r="AU18" s="117"/>
      <c r="AV18" s="117"/>
      <c r="AW18" s="118"/>
    </row>
    <row r="19" spans="1:49" ht="26.25" customHeight="1" x14ac:dyDescent="0.15">
      <c r="A19" s="113" t="s">
        <v>12</v>
      </c>
      <c r="B19" s="114"/>
      <c r="C19" s="114"/>
      <c r="D19" s="114"/>
      <c r="E19" s="114"/>
      <c r="F19" s="114"/>
      <c r="G19" s="115"/>
      <c r="H19" s="119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1"/>
      <c r="X19" s="113" t="s">
        <v>13</v>
      </c>
      <c r="Y19" s="114"/>
      <c r="Z19" s="114"/>
      <c r="AA19" s="114"/>
      <c r="AB19" s="114"/>
      <c r="AC19" s="115"/>
      <c r="AD19" s="122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  <c r="AW19" s="118"/>
    </row>
    <row r="20" spans="1:49" ht="26.25" customHeight="1" thickBot="1" x14ac:dyDescent="0.2">
      <c r="A20" s="102" t="s">
        <v>14</v>
      </c>
      <c r="B20" s="103"/>
      <c r="C20" s="103"/>
      <c r="D20" s="103"/>
      <c r="E20" s="103"/>
      <c r="F20" s="103"/>
      <c r="G20" s="104"/>
      <c r="H20" s="105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7"/>
      <c r="X20" s="102" t="s">
        <v>15</v>
      </c>
      <c r="Y20" s="103"/>
      <c r="Z20" s="103"/>
      <c r="AA20" s="103"/>
      <c r="AB20" s="103"/>
      <c r="AC20" s="104"/>
      <c r="AD20" s="108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10"/>
    </row>
    <row r="21" spans="1:49" ht="26.25" customHeight="1" x14ac:dyDescent="0.15">
      <c r="A21" s="111"/>
      <c r="B21" s="111"/>
      <c r="C21" s="111"/>
      <c r="D21" s="111"/>
      <c r="E21" s="111"/>
      <c r="F21" s="111"/>
      <c r="G21" s="111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11"/>
      <c r="Y21" s="111"/>
      <c r="Z21" s="111"/>
      <c r="AA21" s="111"/>
      <c r="AB21" s="111"/>
      <c r="AC21" s="111"/>
      <c r="AD21" s="9"/>
      <c r="AE21" s="9"/>
      <c r="AF21" s="9"/>
      <c r="AG21" s="9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</row>
    <row r="22" spans="1:49" ht="26.25" customHeight="1" x14ac:dyDescent="0.15">
      <c r="A22" s="31"/>
      <c r="B22" s="31"/>
      <c r="C22" s="31"/>
      <c r="D22" s="31"/>
      <c r="E22" s="31"/>
      <c r="F22" s="31"/>
      <c r="G22" s="31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31"/>
      <c r="Y22" s="31"/>
      <c r="Z22" s="31"/>
      <c r="AA22" s="31"/>
      <c r="AB22" s="31"/>
      <c r="AC22" s="31"/>
      <c r="AD22" s="9"/>
      <c r="AE22" s="9"/>
      <c r="AF22" s="9"/>
      <c r="AG22" s="9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</row>
    <row r="23" spans="1:49" ht="26.25" customHeight="1" x14ac:dyDescent="0.15">
      <c r="A23" s="31"/>
      <c r="B23" s="31"/>
      <c r="C23" s="31"/>
      <c r="D23" s="31"/>
      <c r="E23" s="31"/>
      <c r="F23" s="31"/>
      <c r="G23" s="31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31"/>
      <c r="Y23" s="31"/>
      <c r="Z23" s="31"/>
      <c r="AA23" s="31"/>
      <c r="AB23" s="31"/>
      <c r="AC23" s="31"/>
      <c r="AD23" s="9"/>
      <c r="AE23" s="9"/>
      <c r="AF23" s="9"/>
      <c r="AG23" s="9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</row>
    <row r="25" spans="1:49" ht="15" thickBot="1" x14ac:dyDescent="0.2">
      <c r="L25" s="11" t="s">
        <v>16</v>
      </c>
    </row>
    <row r="26" spans="1:49" ht="27" customHeight="1" x14ac:dyDescent="0.15">
      <c r="E26" s="112"/>
      <c r="F26" s="112"/>
      <c r="G26" s="112"/>
      <c r="H26" s="112"/>
      <c r="I26" s="112"/>
      <c r="J26" s="112"/>
      <c r="K26" s="112"/>
      <c r="L26" s="99"/>
      <c r="M26" s="100"/>
      <c r="N26" s="100"/>
      <c r="O26" s="100"/>
      <c r="P26" s="101"/>
      <c r="Q26" s="100"/>
      <c r="R26" s="100"/>
      <c r="S26" s="100"/>
      <c r="T26" s="100"/>
      <c r="U26" s="101"/>
      <c r="V26" s="99"/>
      <c r="W26" s="100"/>
      <c r="X26" s="100"/>
      <c r="Y26" s="100"/>
      <c r="Z26" s="101"/>
      <c r="AA26" s="99"/>
      <c r="AB26" s="100"/>
      <c r="AC26" s="100"/>
      <c r="AD26" s="100"/>
      <c r="AE26" s="101"/>
      <c r="AF26" s="99"/>
      <c r="AG26" s="100"/>
      <c r="AH26" s="100"/>
      <c r="AI26" s="100"/>
      <c r="AJ26" s="101"/>
    </row>
    <row r="27" spans="1:49" ht="78" customHeight="1" thickBot="1" x14ac:dyDescent="0.2">
      <c r="E27" s="12"/>
      <c r="F27" s="12"/>
      <c r="G27" s="12"/>
      <c r="H27" s="13"/>
      <c r="I27" s="12"/>
      <c r="J27" s="12"/>
      <c r="K27" s="12"/>
      <c r="L27" s="96" t="s">
        <v>17</v>
      </c>
      <c r="M27" s="97"/>
      <c r="N27" s="97"/>
      <c r="O27" s="97"/>
      <c r="P27" s="98"/>
      <c r="Q27" s="96" t="s">
        <v>17</v>
      </c>
      <c r="R27" s="97"/>
      <c r="S27" s="97"/>
      <c r="T27" s="97"/>
      <c r="U27" s="98"/>
      <c r="V27" s="96" t="s">
        <v>17</v>
      </c>
      <c r="W27" s="97"/>
      <c r="X27" s="97"/>
      <c r="Y27" s="97"/>
      <c r="Z27" s="98"/>
      <c r="AA27" s="96" t="s">
        <v>17</v>
      </c>
      <c r="AB27" s="97"/>
      <c r="AC27" s="97"/>
      <c r="AD27" s="97"/>
      <c r="AE27" s="98"/>
      <c r="AF27" s="96" t="s">
        <v>17</v>
      </c>
      <c r="AG27" s="97"/>
      <c r="AH27" s="97"/>
      <c r="AI27" s="97"/>
      <c r="AJ27" s="98"/>
    </row>
  </sheetData>
  <mergeCells count="42">
    <mergeCell ref="A15:G15"/>
    <mergeCell ref="H15:W15"/>
    <mergeCell ref="X15:AC15"/>
    <mergeCell ref="AD15:AW15"/>
    <mergeCell ref="A4:AW11"/>
    <mergeCell ref="A14:G14"/>
    <mergeCell ref="H14:W14"/>
    <mergeCell ref="X14:AC14"/>
    <mergeCell ref="AD14:AW14"/>
    <mergeCell ref="A16:G16"/>
    <mergeCell ref="H16:W16"/>
    <mergeCell ref="X16:AC16"/>
    <mergeCell ref="AD16:AW16"/>
    <mergeCell ref="A17:G17"/>
    <mergeCell ref="H17:W17"/>
    <mergeCell ref="X17:AC17"/>
    <mergeCell ref="AD17:AW17"/>
    <mergeCell ref="A18:G18"/>
    <mergeCell ref="H18:W18"/>
    <mergeCell ref="X18:AC18"/>
    <mergeCell ref="AD18:AW18"/>
    <mergeCell ref="A19:G19"/>
    <mergeCell ref="H19:W19"/>
    <mergeCell ref="X19:AC19"/>
    <mergeCell ref="AD19:AW19"/>
    <mergeCell ref="AF26:AJ26"/>
    <mergeCell ref="A20:G20"/>
    <mergeCell ref="H20:W20"/>
    <mergeCell ref="X20:AC20"/>
    <mergeCell ref="AD20:AW20"/>
    <mergeCell ref="A21:G21"/>
    <mergeCell ref="X21:AC21"/>
    <mergeCell ref="E26:K26"/>
    <mergeCell ref="L26:P26"/>
    <mergeCell ref="Q26:U26"/>
    <mergeCell ref="V26:Z26"/>
    <mergeCell ref="AA26:AE26"/>
    <mergeCell ref="L27:P27"/>
    <mergeCell ref="Q27:U27"/>
    <mergeCell ref="V27:Z27"/>
    <mergeCell ref="AA27:AE27"/>
    <mergeCell ref="AF27:AJ27"/>
  </mergeCells>
  <phoneticPr fontId="3"/>
  <printOptions horizontalCentered="1" verticalCentered="1"/>
  <pageMargins left="0.27559055118110237" right="0.27559055118110237" top="0.59055118110236227" bottom="0.39370078740157483" header="0.39370078740157483" footer="0.19685039370078741"/>
  <pageSetup paperSize="9" scale="92" fitToHeight="0" orientation="landscape" r:id="rId1"/>
  <headerFooter alignWithMargins="0">
    <oddFooter>&amp;L&amp;"ＭＳ Ｐゴシック,標準"&amp;9（ES0402-F01_単体テスト仕様書兼結果報告書 20161003 Ver.1.2）&amp;C&amp;"ＭＳ Ｐゴシック,標準"&amp;9&amp;P / &amp;N&amp;R&amp;"ＭＳ Ｐゴシック,標準"&amp;9Copyright© 2013 SCSK Corporation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X21"/>
  <sheetViews>
    <sheetView zoomScaleNormal="100" workbookViewId="0"/>
  </sheetViews>
  <sheetFormatPr defaultColWidth="5" defaultRowHeight="15" customHeight="1" x14ac:dyDescent="0.15"/>
  <cols>
    <col min="1" max="1" width="5" style="15" customWidth="1"/>
    <col min="2" max="2" width="10.25" style="29" customWidth="1"/>
    <col min="3" max="3" width="33.75" style="15" customWidth="1"/>
    <col min="4" max="4" width="58.25" style="15" customWidth="1"/>
    <col min="5" max="5" width="21.25" style="15" customWidth="1"/>
    <col min="6" max="8" width="11.75" style="15" customWidth="1"/>
    <col min="9" max="16384" width="5" style="15"/>
  </cols>
  <sheetData>
    <row r="1" spans="1:154" ht="30" customHeight="1" x14ac:dyDescent="0.15">
      <c r="A1" s="28" t="s">
        <v>18</v>
      </c>
      <c r="B1" s="28" t="s">
        <v>19</v>
      </c>
      <c r="C1" s="28" t="s">
        <v>20</v>
      </c>
      <c r="D1" s="28" t="s">
        <v>21</v>
      </c>
      <c r="E1" s="25" t="s">
        <v>22</v>
      </c>
      <c r="F1" s="25" t="s">
        <v>23</v>
      </c>
      <c r="G1" s="25" t="s">
        <v>24</v>
      </c>
      <c r="H1" s="25" t="s">
        <v>25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spans="1:154" ht="15" customHeight="1" x14ac:dyDescent="0.15">
      <c r="A2" s="141">
        <f>ROW()-1</f>
        <v>1</v>
      </c>
      <c r="B2" s="143"/>
      <c r="C2" s="145"/>
      <c r="D2" s="145"/>
      <c r="E2" s="143"/>
      <c r="F2" s="32"/>
      <c r="G2" s="32"/>
      <c r="H2" s="32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</row>
    <row r="3" spans="1:154" ht="15" customHeight="1" x14ac:dyDescent="0.15">
      <c r="A3" s="142"/>
      <c r="B3" s="144"/>
      <c r="C3" s="146"/>
      <c r="D3" s="146"/>
      <c r="E3" s="144"/>
      <c r="F3" s="33"/>
      <c r="G3" s="33"/>
      <c r="H3" s="33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</row>
    <row r="4" spans="1:154" ht="15" customHeight="1" x14ac:dyDescent="0.15">
      <c r="A4" s="141">
        <v>2</v>
      </c>
      <c r="B4" s="143"/>
      <c r="C4" s="145"/>
      <c r="D4" s="145"/>
      <c r="E4" s="143"/>
      <c r="F4" s="32"/>
      <c r="G4" s="32"/>
      <c r="H4" s="32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spans="1:154" ht="15" customHeight="1" x14ac:dyDescent="0.15">
      <c r="A5" s="142"/>
      <c r="B5" s="144"/>
      <c r="C5" s="146"/>
      <c r="D5" s="146"/>
      <c r="E5" s="144"/>
      <c r="F5" s="33"/>
      <c r="G5" s="33"/>
      <c r="H5" s="33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</row>
    <row r="6" spans="1:154" ht="15" customHeight="1" x14ac:dyDescent="0.15">
      <c r="A6" s="141">
        <v>3</v>
      </c>
      <c r="B6" s="143"/>
      <c r="C6" s="145"/>
      <c r="D6" s="145"/>
      <c r="E6" s="143"/>
      <c r="F6" s="32"/>
      <c r="G6" s="32"/>
      <c r="H6" s="32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</row>
    <row r="7" spans="1:154" ht="15" customHeight="1" x14ac:dyDescent="0.15">
      <c r="A7" s="142"/>
      <c r="B7" s="144"/>
      <c r="C7" s="146"/>
      <c r="D7" s="146"/>
      <c r="E7" s="144"/>
      <c r="F7" s="33"/>
      <c r="G7" s="33"/>
      <c r="H7" s="33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</row>
    <row r="8" spans="1:154" ht="15" customHeight="1" x14ac:dyDescent="0.15">
      <c r="A8" s="141">
        <v>4</v>
      </c>
      <c r="B8" s="143"/>
      <c r="C8" s="145"/>
      <c r="D8" s="145"/>
      <c r="E8" s="143"/>
      <c r="F8" s="32"/>
      <c r="G8" s="32"/>
      <c r="H8" s="32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</row>
    <row r="9" spans="1:154" ht="15" customHeight="1" x14ac:dyDescent="0.15">
      <c r="A9" s="142"/>
      <c r="B9" s="144"/>
      <c r="C9" s="146"/>
      <c r="D9" s="146"/>
      <c r="E9" s="144"/>
      <c r="F9" s="33"/>
      <c r="G9" s="33"/>
      <c r="H9" s="33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</row>
    <row r="10" spans="1:154" ht="15" customHeight="1" x14ac:dyDescent="0.15">
      <c r="A10" s="141">
        <v>5</v>
      </c>
      <c r="B10" s="143"/>
      <c r="C10" s="145"/>
      <c r="D10" s="145"/>
      <c r="E10" s="143"/>
      <c r="F10" s="32"/>
      <c r="G10" s="32"/>
      <c r="H10" s="32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</row>
    <row r="11" spans="1:154" ht="15" customHeight="1" x14ac:dyDescent="0.15">
      <c r="A11" s="142"/>
      <c r="B11" s="144"/>
      <c r="C11" s="146"/>
      <c r="D11" s="146"/>
      <c r="E11" s="144"/>
      <c r="F11" s="33"/>
      <c r="G11" s="33"/>
      <c r="H11" s="33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</row>
    <row r="12" spans="1:154" ht="15" customHeight="1" x14ac:dyDescent="0.15">
      <c r="A12" s="141">
        <v>6</v>
      </c>
      <c r="B12" s="143"/>
      <c r="C12" s="145"/>
      <c r="D12" s="145"/>
      <c r="E12" s="143"/>
      <c r="F12" s="32"/>
      <c r="G12" s="32"/>
      <c r="H12" s="32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</row>
    <row r="13" spans="1:154" ht="15" customHeight="1" x14ac:dyDescent="0.15">
      <c r="A13" s="142"/>
      <c r="B13" s="144"/>
      <c r="C13" s="146"/>
      <c r="D13" s="146"/>
      <c r="E13" s="144"/>
      <c r="F13" s="33"/>
      <c r="G13" s="33"/>
      <c r="H13" s="33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</row>
    <row r="14" spans="1:154" ht="15" customHeight="1" x14ac:dyDescent="0.15">
      <c r="A14" s="141">
        <v>7</v>
      </c>
      <c r="B14" s="143"/>
      <c r="C14" s="145"/>
      <c r="D14" s="145"/>
      <c r="E14" s="143"/>
      <c r="F14" s="32"/>
      <c r="G14" s="32"/>
      <c r="H14" s="32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</row>
    <row r="15" spans="1:154" ht="15" customHeight="1" x14ac:dyDescent="0.15">
      <c r="A15" s="142"/>
      <c r="B15" s="144"/>
      <c r="C15" s="146"/>
      <c r="D15" s="146"/>
      <c r="E15" s="144"/>
      <c r="F15" s="33"/>
      <c r="G15" s="33"/>
      <c r="H15" s="33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</row>
    <row r="16" spans="1:154" ht="15" customHeight="1" x14ac:dyDescent="0.15">
      <c r="A16" s="141">
        <v>8</v>
      </c>
      <c r="B16" s="143"/>
      <c r="C16" s="145"/>
      <c r="D16" s="145"/>
      <c r="E16" s="143"/>
      <c r="F16" s="32"/>
      <c r="G16" s="32"/>
      <c r="H16" s="32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</row>
    <row r="17" spans="1:154" ht="15" customHeight="1" x14ac:dyDescent="0.15">
      <c r="A17" s="142"/>
      <c r="B17" s="144"/>
      <c r="C17" s="146"/>
      <c r="D17" s="146"/>
      <c r="E17" s="144"/>
      <c r="F17" s="33"/>
      <c r="G17" s="33"/>
      <c r="H17" s="33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</row>
    <row r="18" spans="1:154" ht="15" customHeight="1" x14ac:dyDescent="0.15">
      <c r="A18" s="141">
        <v>9</v>
      </c>
      <c r="B18" s="143"/>
      <c r="C18" s="145"/>
      <c r="D18" s="145"/>
      <c r="E18" s="143"/>
      <c r="F18" s="32"/>
      <c r="G18" s="32"/>
      <c r="H18" s="32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</row>
    <row r="19" spans="1:154" ht="15" customHeight="1" x14ac:dyDescent="0.15">
      <c r="A19" s="142"/>
      <c r="B19" s="144"/>
      <c r="C19" s="146"/>
      <c r="D19" s="146"/>
      <c r="E19" s="144"/>
      <c r="F19" s="33"/>
      <c r="G19" s="33"/>
      <c r="H19" s="33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</row>
    <row r="20" spans="1:154" ht="15" customHeight="1" x14ac:dyDescent="0.15">
      <c r="A20" s="141">
        <v>10</v>
      </c>
      <c r="B20" s="143"/>
      <c r="C20" s="145"/>
      <c r="D20" s="145"/>
      <c r="E20" s="143"/>
      <c r="F20" s="32"/>
      <c r="G20" s="32"/>
      <c r="H20" s="32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</row>
    <row r="21" spans="1:154" ht="15" customHeight="1" x14ac:dyDescent="0.15">
      <c r="A21" s="142"/>
      <c r="B21" s="144"/>
      <c r="C21" s="146"/>
      <c r="D21" s="146"/>
      <c r="E21" s="144"/>
      <c r="F21" s="33"/>
      <c r="G21" s="33"/>
      <c r="H21" s="33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</row>
  </sheetData>
  <mergeCells count="50">
    <mergeCell ref="A2:A3"/>
    <mergeCell ref="B2:B3"/>
    <mergeCell ref="C2:C3"/>
    <mergeCell ref="D2:D3"/>
    <mergeCell ref="E2:E3"/>
    <mergeCell ref="A8:A9"/>
    <mergeCell ref="B8:B9"/>
    <mergeCell ref="C8:C9"/>
    <mergeCell ref="D8:D9"/>
    <mergeCell ref="E8:E9"/>
    <mergeCell ref="A6:A7"/>
    <mergeCell ref="B6:B7"/>
    <mergeCell ref="C6:C7"/>
    <mergeCell ref="D6:D7"/>
    <mergeCell ref="E6:E7"/>
    <mergeCell ref="A12:A13"/>
    <mergeCell ref="B12:B13"/>
    <mergeCell ref="C12:C13"/>
    <mergeCell ref="D12:D13"/>
    <mergeCell ref="E12:E13"/>
    <mergeCell ref="A10:A11"/>
    <mergeCell ref="B10:B11"/>
    <mergeCell ref="C10:C11"/>
    <mergeCell ref="D10:D11"/>
    <mergeCell ref="E10:E11"/>
    <mergeCell ref="A16:A17"/>
    <mergeCell ref="B16:B17"/>
    <mergeCell ref="C16:C17"/>
    <mergeCell ref="D16:D17"/>
    <mergeCell ref="E16:E17"/>
    <mergeCell ref="A14:A15"/>
    <mergeCell ref="B14:B15"/>
    <mergeCell ref="C14:C15"/>
    <mergeCell ref="D14:D15"/>
    <mergeCell ref="E14:E15"/>
    <mergeCell ref="A20:A21"/>
    <mergeCell ref="B20:B21"/>
    <mergeCell ref="C20:C21"/>
    <mergeCell ref="D20:D21"/>
    <mergeCell ref="E20:E21"/>
    <mergeCell ref="A18:A19"/>
    <mergeCell ref="B18:B19"/>
    <mergeCell ref="C18:C19"/>
    <mergeCell ref="D18:D19"/>
    <mergeCell ref="E18:E19"/>
    <mergeCell ref="A4:A5"/>
    <mergeCell ref="B4:B5"/>
    <mergeCell ref="C4:C5"/>
    <mergeCell ref="D4:D5"/>
    <mergeCell ref="E4:E5"/>
  </mergeCells>
  <phoneticPr fontId="3"/>
  <printOptions horizontalCentered="1"/>
  <pageMargins left="0.27559055118110237" right="0.27559055118110237" top="0.59055118110236227" bottom="0.39370078740157483" header="0.39370078740157483" footer="0.19685039370078741"/>
  <pageSetup paperSize="9" scale="87" fitToHeight="0" orientation="landscape" r:id="rId1"/>
  <headerFooter alignWithMargins="0">
    <oddHeader>&amp;L&amp;"ＭＳ ゴシック,太字"&amp;14&amp;A</oddHeader>
    <oddFooter>&amp;L&amp;"ＭＳ Ｐゴシック,標準"&amp;9（ES0402-F01_単体テスト仕様書兼結果報告書 20161003 Ver.1.2）&amp;C&amp;"ＭＳ Ｐゴシック,標準"&amp;9&amp;P / &amp;N&amp;R&amp;"ＭＳ Ｐゴシック,標準"&amp;9Copyright© 2013 SCSK Corporation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C8343-8783-4E93-A198-4CC41DE80A27}">
  <sheetPr codeName="Sheet3">
    <pageSetUpPr fitToPage="1"/>
  </sheetPr>
  <dimension ref="A1:J2"/>
  <sheetViews>
    <sheetView zoomScaleNormal="100" workbookViewId="0">
      <selection activeCell="B1" sqref="B1"/>
    </sheetView>
  </sheetViews>
  <sheetFormatPr defaultColWidth="2.5" defaultRowHeight="15" customHeight="1" x14ac:dyDescent="0.15"/>
  <cols>
    <col min="1" max="1" width="1.625" style="1" customWidth="1"/>
    <col min="2" max="2" width="4.625" style="7" customWidth="1"/>
    <col min="3" max="4" width="25.625" style="6" customWidth="1"/>
    <col min="5" max="5" width="50.625" style="5" customWidth="1"/>
    <col min="6" max="6" width="60.625" style="5" customWidth="1"/>
    <col min="7" max="8" width="20.625" style="3" customWidth="1"/>
    <col min="9" max="9" width="20.5" style="1" customWidth="1"/>
    <col min="10" max="10" width="19.375" style="1" bestFit="1" customWidth="1"/>
    <col min="11" max="16384" width="2.5" style="1"/>
  </cols>
  <sheetData>
    <row r="1" spans="1:10" ht="17.100000000000001" customHeight="1" x14ac:dyDescent="0.15">
      <c r="A1" s="2"/>
      <c r="B1" s="34" t="s">
        <v>18</v>
      </c>
      <c r="C1" s="34" t="s">
        <v>26</v>
      </c>
      <c r="D1" s="34" t="s">
        <v>31</v>
      </c>
      <c r="E1" s="34" t="s">
        <v>51</v>
      </c>
      <c r="F1" s="34" t="s">
        <v>27</v>
      </c>
      <c r="G1" s="27" t="s">
        <v>28</v>
      </c>
      <c r="H1" s="27" t="s">
        <v>29</v>
      </c>
      <c r="I1" s="1" t="s">
        <v>52</v>
      </c>
      <c r="J1" s="3" t="s">
        <v>53</v>
      </c>
    </row>
    <row r="2" spans="1:10" ht="112.15" customHeight="1" x14ac:dyDescent="0.15">
      <c r="A2" s="2"/>
      <c r="B2" s="16">
        <v>2</v>
      </c>
      <c r="C2" s="4" t="s">
        <v>78</v>
      </c>
      <c r="D2" s="17" t="s">
        <v>32</v>
      </c>
      <c r="E2" s="4" t="s">
        <v>80</v>
      </c>
      <c r="F2" s="18" t="s">
        <v>79</v>
      </c>
      <c r="G2" s="18"/>
      <c r="H2" s="18"/>
      <c r="I2" s="1" cm="1">
        <f t="array" aca="1" ref="I2" ca="1">INDIRECT("'テスト仕様(No." &amp; B2 &amp; ")'!$E$1")</f>
        <v>3</v>
      </c>
    </row>
  </sheetData>
  <phoneticPr fontId="3"/>
  <printOptions horizontalCentered="1"/>
  <pageMargins left="0.27559055118110237" right="0.27559055118110237" top="0.59055118110236227" bottom="0.39370078740157483" header="0.39370078740157483" footer="0.19685039370078741"/>
  <pageSetup paperSize="9" scale="68" fitToHeight="0" orientation="landscape" r:id="rId1"/>
  <headerFooter alignWithMargins="0">
    <oddHeader>&amp;L&amp;"ＭＳ ゴシック,太字"&amp;18&amp;A</oddHeader>
    <oddFooter>&amp;L&amp;"ＭＳ Ｐゴシック,標準"&amp;9（ES0402-F01_単体テスト仕様書兼結果報告書 20161003 Ver.1.2）&amp;C&amp;"ＭＳ Ｐゴシック,標準"&amp;9&amp;P / &amp;N&amp;R&amp;"ＭＳ Ｐゴシック,標準"&amp;9Copyright© 2013 SCSK Corporation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1BA68-72E1-43CB-911D-2F36B29CAE93}">
  <sheetPr codeName="Sheet5">
    <pageSetUpPr fitToPage="1"/>
  </sheetPr>
  <dimension ref="A1:Z35"/>
  <sheetViews>
    <sheetView tabSelected="1" zoomScaleNormal="100" workbookViewId="0"/>
  </sheetViews>
  <sheetFormatPr defaultColWidth="2.5" defaultRowHeight="15" customHeight="1" x14ac:dyDescent="0.15"/>
  <cols>
    <col min="1" max="1" width="1.625" style="1" customWidth="1"/>
    <col min="2" max="2" width="14.875" style="20" customWidth="1"/>
    <col min="3" max="3" width="5.375" style="21" customWidth="1"/>
    <col min="4" max="4" width="45.625" style="22" customWidth="1"/>
    <col min="5" max="26" width="5.625" style="24" customWidth="1"/>
    <col min="27" max="16384" width="2.5" style="1"/>
  </cols>
  <sheetData>
    <row r="1" spans="1:26" ht="26.25" customHeight="1" x14ac:dyDescent="0.15">
      <c r="A1" s="39"/>
      <c r="B1" s="41" t="s">
        <v>33</v>
      </c>
      <c r="C1" s="42">
        <v>2</v>
      </c>
      <c r="D1" s="43" t="s">
        <v>34</v>
      </c>
      <c r="E1" s="89">
        <f>COUNTA(F1:CZ1)</f>
        <v>3</v>
      </c>
      <c r="F1" s="44">
        <v>1</v>
      </c>
      <c r="G1" s="44">
        <v>2</v>
      </c>
      <c r="H1" s="44">
        <v>3</v>
      </c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spans="1:26" ht="20.100000000000001" customHeight="1" x14ac:dyDescent="0.15">
      <c r="A2" s="45"/>
      <c r="B2" s="46"/>
      <c r="C2" s="47" t="s">
        <v>35</v>
      </c>
      <c r="D2" s="48" t="s">
        <v>36</v>
      </c>
      <c r="E2" s="49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1"/>
    </row>
    <row r="3" spans="1:26" ht="19.899999999999999" customHeight="1" x14ac:dyDescent="0.15">
      <c r="A3" s="45"/>
      <c r="B3" s="52" t="s">
        <v>37</v>
      </c>
      <c r="C3" s="53">
        <v>1</v>
      </c>
      <c r="D3" s="54" t="s">
        <v>73</v>
      </c>
      <c r="E3" s="55"/>
      <c r="F3" s="56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</row>
    <row r="4" spans="1:26" ht="20.100000000000001" customHeight="1" x14ac:dyDescent="0.15">
      <c r="A4" s="45"/>
      <c r="B4" s="52"/>
      <c r="C4" s="23">
        <f>C3+1</f>
        <v>2</v>
      </c>
      <c r="D4" s="58" t="s">
        <v>47</v>
      </c>
      <c r="E4" s="59"/>
      <c r="F4" s="60" t="s">
        <v>38</v>
      </c>
      <c r="G4" s="44"/>
      <c r="H4" s="44"/>
      <c r="I4" s="60"/>
      <c r="J4" s="60"/>
      <c r="K4" s="60"/>
      <c r="L4" s="60"/>
      <c r="M4" s="60"/>
      <c r="N4" s="60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spans="1:26" ht="20.100000000000001" customHeight="1" x14ac:dyDescent="0.15">
      <c r="A5" s="45"/>
      <c r="B5" s="52"/>
      <c r="C5" s="23">
        <f t="shared" ref="C5:C10" si="0">C4+1</f>
        <v>3</v>
      </c>
      <c r="D5" s="58" t="s">
        <v>48</v>
      </c>
      <c r="E5" s="59"/>
      <c r="F5" s="60"/>
      <c r="G5" s="60" t="s">
        <v>38</v>
      </c>
      <c r="H5" s="60"/>
      <c r="I5" s="60"/>
      <c r="J5" s="60"/>
      <c r="K5" s="60"/>
      <c r="L5" s="60"/>
      <c r="M5" s="60"/>
      <c r="N5" s="60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spans="1:26" ht="20.100000000000001" customHeight="1" x14ac:dyDescent="0.15">
      <c r="A6" s="45"/>
      <c r="B6" s="52"/>
      <c r="C6" s="23">
        <f t="shared" si="0"/>
        <v>4</v>
      </c>
      <c r="D6" s="58" t="s">
        <v>72</v>
      </c>
      <c r="E6" s="59"/>
      <c r="F6" s="60"/>
      <c r="G6" s="44"/>
      <c r="H6" s="60" t="s">
        <v>38</v>
      </c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spans="1:26" ht="20.100000000000001" customHeight="1" x14ac:dyDescent="0.15">
      <c r="A7" s="45"/>
      <c r="B7" s="52"/>
      <c r="C7" s="23">
        <f t="shared" si="0"/>
        <v>5</v>
      </c>
      <c r="D7" s="54" t="s">
        <v>71</v>
      </c>
      <c r="E7" s="61"/>
      <c r="F7" s="56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</row>
    <row r="8" spans="1:26" ht="20.100000000000001" customHeight="1" x14ac:dyDescent="0.15">
      <c r="A8" s="45"/>
      <c r="B8" s="52"/>
      <c r="C8" s="23">
        <f t="shared" si="0"/>
        <v>6</v>
      </c>
      <c r="D8" s="58" t="s">
        <v>47</v>
      </c>
      <c r="E8" s="59"/>
      <c r="F8" s="60" t="s">
        <v>38</v>
      </c>
      <c r="G8" s="44"/>
      <c r="H8" s="44"/>
      <c r="I8" s="60"/>
      <c r="J8" s="60"/>
      <c r="K8" s="60"/>
      <c r="L8" s="60"/>
      <c r="M8" s="60"/>
      <c r="N8" s="60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6" ht="20.100000000000001" customHeight="1" x14ac:dyDescent="0.15">
      <c r="A9" s="45"/>
      <c r="B9" s="52"/>
      <c r="C9" s="23">
        <f t="shared" si="0"/>
        <v>7</v>
      </c>
      <c r="D9" s="58" t="s">
        <v>48</v>
      </c>
      <c r="E9" s="59"/>
      <c r="F9" s="60"/>
      <c r="G9" s="60" t="s">
        <v>38</v>
      </c>
      <c r="H9" s="60"/>
      <c r="I9" s="60"/>
      <c r="J9" s="60"/>
      <c r="K9" s="60"/>
      <c r="L9" s="60"/>
      <c r="M9" s="60"/>
      <c r="N9" s="60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spans="1:26" ht="20.100000000000001" customHeight="1" x14ac:dyDescent="0.15">
      <c r="A10" s="45"/>
      <c r="B10" s="52"/>
      <c r="C10" s="23">
        <f t="shared" si="0"/>
        <v>8</v>
      </c>
      <c r="D10" s="58" t="s">
        <v>72</v>
      </c>
      <c r="E10" s="59"/>
      <c r="F10" s="60"/>
      <c r="G10" s="44"/>
      <c r="H10" s="60" t="s">
        <v>38</v>
      </c>
      <c r="I10" s="44"/>
      <c r="J10" s="60"/>
      <c r="K10" s="44"/>
      <c r="L10" s="44"/>
      <c r="M10" s="44"/>
      <c r="N10" s="60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spans="1:26" ht="20.100000000000001" customHeight="1" x14ac:dyDescent="0.15">
      <c r="A11" s="45"/>
      <c r="B11" s="62"/>
      <c r="C11" s="63"/>
      <c r="D11" s="64"/>
      <c r="E11" s="65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7"/>
    </row>
    <row r="12" spans="1:26" ht="19.899999999999999" customHeight="1" x14ac:dyDescent="0.15">
      <c r="A12" s="45"/>
      <c r="B12" s="46"/>
      <c r="C12" s="47" t="s">
        <v>35</v>
      </c>
      <c r="D12" s="48" t="s">
        <v>39</v>
      </c>
      <c r="E12" s="49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1"/>
    </row>
    <row r="13" spans="1:26" ht="20.100000000000001" customHeight="1" x14ac:dyDescent="0.15">
      <c r="A13" s="2"/>
      <c r="B13" s="26"/>
      <c r="C13" s="23">
        <v>1</v>
      </c>
      <c r="D13" s="38" t="s">
        <v>77</v>
      </c>
      <c r="E13" s="36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9.899999999999999" customHeight="1" x14ac:dyDescent="0.15">
      <c r="A14" s="45"/>
      <c r="B14" s="52"/>
      <c r="C14" s="23">
        <f>C13+1</f>
        <v>2</v>
      </c>
      <c r="D14" s="54" t="s">
        <v>75</v>
      </c>
      <c r="E14" s="61"/>
      <c r="F14" s="56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spans="1:26" ht="20.100000000000001" customHeight="1" x14ac:dyDescent="0.15">
      <c r="A15" s="45"/>
      <c r="B15" s="52"/>
      <c r="C15" s="23">
        <f t="shared" ref="C15:C21" si="1">C14+1</f>
        <v>3</v>
      </c>
      <c r="D15" s="58" t="s">
        <v>47</v>
      </c>
      <c r="E15" s="59"/>
      <c r="F15" s="60" t="s">
        <v>40</v>
      </c>
      <c r="G15" s="60"/>
      <c r="H15" s="60"/>
      <c r="I15" s="60"/>
      <c r="J15" s="60"/>
      <c r="K15" s="60"/>
      <c r="L15" s="60"/>
      <c r="M15" s="60"/>
      <c r="N15" s="60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spans="1:26" ht="20.100000000000001" customHeight="1" x14ac:dyDescent="0.15">
      <c r="A16" s="45"/>
      <c r="B16" s="52"/>
      <c r="C16" s="23">
        <f t="shared" si="1"/>
        <v>4</v>
      </c>
      <c r="D16" s="58" t="s">
        <v>48</v>
      </c>
      <c r="E16" s="59"/>
      <c r="F16" s="60"/>
      <c r="G16" s="60" t="s">
        <v>40</v>
      </c>
      <c r="H16" s="60"/>
      <c r="I16" s="60"/>
      <c r="J16" s="60"/>
      <c r="K16" s="60"/>
      <c r="L16" s="60"/>
      <c r="M16" s="60"/>
      <c r="N16" s="60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spans="1:26" ht="20.100000000000001" customHeight="1" x14ac:dyDescent="0.15">
      <c r="A17" s="45"/>
      <c r="B17" s="52"/>
      <c r="C17" s="23">
        <f t="shared" si="1"/>
        <v>5</v>
      </c>
      <c r="D17" s="58" t="s">
        <v>72</v>
      </c>
      <c r="E17" s="59"/>
      <c r="F17" s="60"/>
      <c r="G17" s="60"/>
      <c r="H17" s="60" t="s">
        <v>40</v>
      </c>
      <c r="I17" s="60"/>
      <c r="J17" s="60"/>
      <c r="K17" s="60"/>
      <c r="L17" s="60"/>
      <c r="M17" s="60"/>
      <c r="N17" s="60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spans="1:26" ht="20.100000000000001" customHeight="1" x14ac:dyDescent="0.15">
      <c r="A18" s="2"/>
      <c r="B18" s="26"/>
      <c r="C18" s="23">
        <f t="shared" si="1"/>
        <v>6</v>
      </c>
      <c r="D18" s="38" t="s">
        <v>49</v>
      </c>
      <c r="E18" s="36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20.100000000000001" customHeight="1" x14ac:dyDescent="0.15">
      <c r="A19" s="45"/>
      <c r="B19" s="52"/>
      <c r="C19" s="23">
        <f t="shared" si="1"/>
        <v>7</v>
      </c>
      <c r="D19" s="54" t="s">
        <v>74</v>
      </c>
      <c r="E19" s="61"/>
      <c r="F19" s="56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</row>
    <row r="20" spans="1:26" ht="18" customHeight="1" x14ac:dyDescent="0.15">
      <c r="A20" s="45"/>
      <c r="B20" s="52"/>
      <c r="C20" s="23">
        <f t="shared" si="1"/>
        <v>8</v>
      </c>
      <c r="D20" s="58" t="s">
        <v>50</v>
      </c>
      <c r="E20" s="59"/>
      <c r="F20" s="60" t="s">
        <v>40</v>
      </c>
      <c r="G20" s="60"/>
      <c r="H20" s="60"/>
      <c r="I20" s="60"/>
      <c r="J20" s="60"/>
      <c r="K20" s="60"/>
      <c r="L20" s="60"/>
      <c r="M20" s="60"/>
      <c r="N20" s="60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spans="1:26" ht="20.100000000000001" customHeight="1" x14ac:dyDescent="0.15">
      <c r="A21" s="45"/>
      <c r="B21" s="52"/>
      <c r="C21" s="23">
        <f t="shared" si="1"/>
        <v>9</v>
      </c>
      <c r="D21" s="58" t="s">
        <v>76</v>
      </c>
      <c r="E21" s="59"/>
      <c r="F21" s="60"/>
      <c r="G21" s="60" t="s">
        <v>40</v>
      </c>
      <c r="H21" s="60" t="s">
        <v>40</v>
      </c>
      <c r="I21" s="60"/>
      <c r="J21" s="60"/>
      <c r="K21" s="60"/>
      <c r="L21" s="60"/>
      <c r="M21" s="60"/>
      <c r="N21" s="60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spans="1:26" ht="20.100000000000001" customHeight="1" x14ac:dyDescent="0.15">
      <c r="A22" s="45"/>
      <c r="B22" s="52"/>
      <c r="C22" s="23"/>
      <c r="D22" s="68"/>
      <c r="E22" s="59"/>
      <c r="F22" s="69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spans="1:26" ht="20.100000000000001" customHeight="1" x14ac:dyDescent="0.15">
      <c r="A23" s="45"/>
      <c r="B23" s="62"/>
      <c r="C23" s="63"/>
      <c r="D23" s="70"/>
      <c r="E23" s="71"/>
      <c r="F23" s="72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7"/>
    </row>
    <row r="24" spans="1:26" ht="20.100000000000001" customHeight="1" x14ac:dyDescent="0.15">
      <c r="A24" s="45"/>
      <c r="B24" s="46"/>
      <c r="C24" s="73" t="s">
        <v>35</v>
      </c>
      <c r="D24" s="47" t="s">
        <v>41</v>
      </c>
      <c r="E24" s="74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1"/>
    </row>
    <row r="25" spans="1:26" ht="20.100000000000001" customHeight="1" x14ac:dyDescent="0.15">
      <c r="A25" s="45"/>
      <c r="B25" s="75" t="s">
        <v>42</v>
      </c>
      <c r="C25" s="76">
        <v>1</v>
      </c>
      <c r="D25" s="40"/>
      <c r="E25" s="77" t="s">
        <v>43</v>
      </c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</row>
    <row r="26" spans="1:26" ht="20.100000000000001" customHeight="1" x14ac:dyDescent="0.15">
      <c r="A26" s="45"/>
      <c r="B26" s="75"/>
      <c r="C26" s="76"/>
      <c r="D26" s="78"/>
      <c r="E26" s="79" t="s">
        <v>44</v>
      </c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</row>
    <row r="27" spans="1:26" ht="20.100000000000001" customHeight="1" x14ac:dyDescent="0.15">
      <c r="A27" s="45"/>
      <c r="B27" s="75"/>
      <c r="C27" s="80">
        <v>2</v>
      </c>
      <c r="D27" s="81"/>
      <c r="E27" s="77" t="s">
        <v>43</v>
      </c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  <c r="Z27" s="77"/>
    </row>
    <row r="28" spans="1:26" ht="20.100000000000001" customHeight="1" x14ac:dyDescent="0.15">
      <c r="A28" s="45"/>
      <c r="B28" s="75"/>
      <c r="C28" s="82"/>
      <c r="D28" s="83"/>
      <c r="E28" s="79" t="s">
        <v>44</v>
      </c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</row>
    <row r="29" spans="1:26" ht="20.100000000000001" customHeight="1" x14ac:dyDescent="0.15">
      <c r="A29" s="45"/>
      <c r="B29" s="75"/>
      <c r="C29" s="80">
        <v>3</v>
      </c>
      <c r="D29" s="81"/>
      <c r="E29" s="77" t="s">
        <v>43</v>
      </c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</row>
    <row r="30" spans="1:26" ht="20.100000000000001" customHeight="1" x14ac:dyDescent="0.15">
      <c r="A30" s="45"/>
      <c r="B30" s="75"/>
      <c r="C30" s="82"/>
      <c r="D30" s="83"/>
      <c r="E30" s="79" t="s">
        <v>44</v>
      </c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</row>
    <row r="31" spans="1:26" ht="20.100000000000001" customHeight="1" x14ac:dyDescent="0.15">
      <c r="A31" s="45"/>
      <c r="B31" s="75"/>
      <c r="C31" s="80">
        <v>4</v>
      </c>
      <c r="D31" s="81"/>
      <c r="E31" s="77" t="s">
        <v>43</v>
      </c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</row>
    <row r="32" spans="1:26" ht="9.9499999999999993" customHeight="1" x14ac:dyDescent="0.15">
      <c r="A32" s="45"/>
      <c r="B32" s="75"/>
      <c r="C32" s="82"/>
      <c r="D32" s="83"/>
      <c r="E32" s="79" t="s">
        <v>44</v>
      </c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</row>
    <row r="33" spans="1:26" ht="30" customHeight="1" x14ac:dyDescent="0.15">
      <c r="A33" s="45"/>
      <c r="B33" s="62"/>
      <c r="C33" s="63"/>
      <c r="D33" s="70"/>
      <c r="E33" s="70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7"/>
    </row>
    <row r="34" spans="1:26" ht="30" customHeight="1" x14ac:dyDescent="0.15">
      <c r="A34" s="39"/>
      <c r="B34" s="84" t="s">
        <v>45</v>
      </c>
      <c r="C34" s="70"/>
      <c r="D34" s="70" t="s">
        <v>46</v>
      </c>
      <c r="E34" s="51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spans="1:26" ht="30" customHeight="1" x14ac:dyDescent="0.15">
      <c r="A35" s="147"/>
      <c r="B35" s="147"/>
      <c r="C35" s="85"/>
      <c r="D35" s="14"/>
      <c r="E35" s="86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148"/>
      <c r="Z35" s="148"/>
    </row>
  </sheetData>
  <mergeCells count="2">
    <mergeCell ref="A35:B35"/>
    <mergeCell ref="Y35:Z35"/>
  </mergeCells>
  <phoneticPr fontId="3"/>
  <printOptions horizontalCentered="1"/>
  <pageMargins left="0.27559055118110237" right="0.27559055118110237" top="0.59055118110236227" bottom="0.39370078740157483" header="0.39370078740157483" footer="0.19685039370078741"/>
  <pageSetup paperSize="9" scale="63" fitToHeight="0" orientation="landscape" r:id="rId1"/>
  <headerFooter alignWithMargins="0">
    <oddHeader>&amp;L&amp;"ＭＳ ゴシック,太字"&amp;18&amp;A</oddHeader>
    <oddFooter>&amp;L&amp;"ＭＳ Ｐゴシック,標準"&amp;9（ES0402-F01_単体テスト仕様書兼結果報告書 20161003 Ver.1.2）&amp;C&amp;"ＭＳ Ｐゴシック,標準"&amp;9&amp;P / &amp;N&amp;R&amp;"ＭＳ Ｐゴシック,標準"&amp;9Copyright© 2013 SCSK Corporation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59FE1-29BE-4A76-B649-BE1A48781746}">
  <sheetPr codeName="Sheet6"/>
  <dimension ref="A1:AE78"/>
  <sheetViews>
    <sheetView zoomScale="70" zoomScaleNormal="70" workbookViewId="0"/>
  </sheetViews>
  <sheetFormatPr defaultRowHeight="13.5" x14ac:dyDescent="0.15"/>
  <cols>
    <col min="4" max="4" width="13.875" bestFit="1" customWidth="1"/>
    <col min="5" max="5" width="16.125" bestFit="1" customWidth="1"/>
    <col min="6" max="6" width="12.75" bestFit="1" customWidth="1"/>
    <col min="7" max="7" width="10.875" customWidth="1"/>
    <col min="8" max="8" width="51.875" customWidth="1"/>
    <col min="9" max="9" width="50.875" customWidth="1"/>
    <col min="10" max="10" width="15.25" bestFit="1" customWidth="1"/>
    <col min="11" max="11" width="22.125" bestFit="1" customWidth="1"/>
    <col min="12" max="12" width="20.875" customWidth="1"/>
    <col min="13" max="13" width="15.25" bestFit="1" customWidth="1"/>
    <col min="14" max="15" width="17.625" bestFit="1" customWidth="1"/>
    <col min="16" max="16" width="24.5" customWidth="1"/>
    <col min="17" max="17" width="10.625" bestFit="1" customWidth="1"/>
    <col min="18" max="18" width="16.125" customWidth="1"/>
    <col min="19" max="19" width="10.625" bestFit="1" customWidth="1"/>
    <col min="25" max="25" width="9" customWidth="1"/>
    <col min="26" max="26" width="25.125" customWidth="1"/>
    <col min="27" max="27" width="15.125" customWidth="1"/>
    <col min="30" max="30" width="11.875" customWidth="1"/>
    <col min="31" max="31" width="17.5" customWidth="1"/>
  </cols>
  <sheetData>
    <row r="1" spans="1:31" x14ac:dyDescent="0.15">
      <c r="A1" t="s">
        <v>81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70</v>
      </c>
    </row>
    <row r="2" spans="1:31" s="90" customFormat="1" x14ac:dyDescent="0.15">
      <c r="D2" s="94">
        <v>1</v>
      </c>
      <c r="E2" s="94" t="s">
        <v>61</v>
      </c>
      <c r="F2" s="90" t="s">
        <v>62</v>
      </c>
      <c r="G2" s="90" t="s">
        <v>64</v>
      </c>
      <c r="H2" s="90" t="s">
        <v>100</v>
      </c>
      <c r="I2" s="90" t="s">
        <v>100</v>
      </c>
    </row>
    <row r="3" spans="1:31" s="90" customFormat="1" x14ac:dyDescent="0.15">
      <c r="D3" s="94"/>
      <c r="E3" s="94"/>
      <c r="J3" s="88" t="s">
        <v>82</v>
      </c>
      <c r="K3" s="88" t="s">
        <v>90</v>
      </c>
      <c r="L3" s="88" t="s">
        <v>91</v>
      </c>
      <c r="M3" s="88" t="s">
        <v>92</v>
      </c>
      <c r="N3" s="88" t="s">
        <v>93</v>
      </c>
      <c r="O3" s="88" t="s">
        <v>94</v>
      </c>
      <c r="P3" s="88" t="s">
        <v>95</v>
      </c>
    </row>
    <row r="4" spans="1:31" s="90" customFormat="1" x14ac:dyDescent="0.15">
      <c r="D4" s="94"/>
      <c r="E4" s="94"/>
      <c r="J4" s="88" t="s">
        <v>83</v>
      </c>
      <c r="K4" s="88" t="s">
        <v>84</v>
      </c>
      <c r="L4" s="88" t="s">
        <v>85</v>
      </c>
      <c r="M4" s="88" t="s">
        <v>86</v>
      </c>
      <c r="N4" s="88" t="s">
        <v>87</v>
      </c>
      <c r="O4" s="88" t="s">
        <v>88</v>
      </c>
      <c r="P4" s="88" t="s">
        <v>89</v>
      </c>
    </row>
    <row r="5" spans="1:31" s="90" customFormat="1" x14ac:dyDescent="0.15">
      <c r="D5" s="94"/>
      <c r="E5" s="94"/>
      <c r="J5" s="88" t="s">
        <v>96</v>
      </c>
      <c r="K5" s="88" t="s">
        <v>97</v>
      </c>
      <c r="L5" s="88" t="s">
        <v>98</v>
      </c>
      <c r="M5" s="88" t="s">
        <v>99</v>
      </c>
      <c r="N5" s="88" t="s">
        <v>99</v>
      </c>
      <c r="O5" s="88" t="s">
        <v>98</v>
      </c>
      <c r="P5" s="88" t="s">
        <v>98</v>
      </c>
    </row>
    <row r="6" spans="1:31" s="90" customFormat="1" x14ac:dyDescent="0.15">
      <c r="D6" s="94"/>
      <c r="E6" s="94"/>
      <c r="J6" s="35">
        <v>202604</v>
      </c>
      <c r="K6" s="35">
        <v>202406</v>
      </c>
      <c r="L6" s="35" t="s">
        <v>67</v>
      </c>
      <c r="M6" s="35" t="s">
        <v>65</v>
      </c>
      <c r="N6" s="35" t="s">
        <v>63</v>
      </c>
      <c r="O6" s="35" t="s">
        <v>63</v>
      </c>
      <c r="P6" s="35" t="s">
        <v>68</v>
      </c>
    </row>
    <row r="7" spans="1:31" s="90" customFormat="1" x14ac:dyDescent="0.15">
      <c r="D7" s="94"/>
      <c r="E7" s="94"/>
    </row>
    <row r="8" spans="1:31" s="90" customFormat="1" x14ac:dyDescent="0.15">
      <c r="D8" s="94">
        <v>1</v>
      </c>
      <c r="E8" s="94">
        <v>1</v>
      </c>
      <c r="F8" s="90" t="s">
        <v>62</v>
      </c>
      <c r="G8" s="90" t="s">
        <v>64</v>
      </c>
      <c r="H8" s="90" t="s">
        <v>102</v>
      </c>
      <c r="I8" s="90" t="s">
        <v>102</v>
      </c>
    </row>
    <row r="9" spans="1:31" s="90" customFormat="1" ht="13.5" customHeight="1" x14ac:dyDescent="0.15">
      <c r="D9" s="94"/>
      <c r="E9" s="94"/>
      <c r="J9" s="88" t="s">
        <v>125</v>
      </c>
      <c r="K9" s="88" t="s">
        <v>126</v>
      </c>
      <c r="L9" s="88" t="s">
        <v>69</v>
      </c>
      <c r="M9" s="88" t="s">
        <v>127</v>
      </c>
      <c r="N9" s="88" t="s">
        <v>128</v>
      </c>
      <c r="O9" s="88" t="s">
        <v>129</v>
      </c>
      <c r="P9" s="88" t="s">
        <v>130</v>
      </c>
      <c r="Q9" s="88" t="s">
        <v>111</v>
      </c>
      <c r="R9" s="88" t="s">
        <v>131</v>
      </c>
      <c r="S9" s="88" t="s">
        <v>132</v>
      </c>
      <c r="T9" s="88" t="s">
        <v>133</v>
      </c>
      <c r="U9" s="88" t="s">
        <v>134</v>
      </c>
      <c r="V9" s="88" t="s">
        <v>117</v>
      </c>
      <c r="W9" s="88" t="s">
        <v>30</v>
      </c>
      <c r="X9" s="88" t="s">
        <v>135</v>
      </c>
      <c r="Y9" s="88" t="s">
        <v>121</v>
      </c>
      <c r="Z9" s="88" t="s">
        <v>123</v>
      </c>
    </row>
    <row r="10" spans="1:31" s="90" customFormat="1" ht="13.5" customHeight="1" x14ac:dyDescent="0.15">
      <c r="D10" s="94"/>
      <c r="E10" s="94"/>
      <c r="J10" s="88" t="s">
        <v>103</v>
      </c>
      <c r="K10" s="88" t="s">
        <v>104</v>
      </c>
      <c r="L10" s="88" t="s">
        <v>105</v>
      </c>
      <c r="M10" s="88" t="s">
        <v>107</v>
      </c>
      <c r="N10" s="88" t="s">
        <v>108</v>
      </c>
      <c r="O10" s="88" t="s">
        <v>109</v>
      </c>
      <c r="P10" s="88" t="s">
        <v>110</v>
      </c>
      <c r="Q10" s="88" t="s">
        <v>112</v>
      </c>
      <c r="R10" s="88" t="s">
        <v>113</v>
      </c>
      <c r="S10" s="88" t="s">
        <v>114</v>
      </c>
      <c r="T10" s="88" t="s">
        <v>115</v>
      </c>
      <c r="U10" s="88" t="s">
        <v>116</v>
      </c>
      <c r="V10" s="88" t="s">
        <v>118</v>
      </c>
      <c r="W10" s="88" t="s">
        <v>119</v>
      </c>
      <c r="X10" s="88" t="s">
        <v>120</v>
      </c>
      <c r="Y10" s="88" t="s">
        <v>122</v>
      </c>
      <c r="Z10" s="88" t="s">
        <v>124</v>
      </c>
    </row>
    <row r="11" spans="1:31" s="90" customFormat="1" ht="13.5" customHeight="1" x14ac:dyDescent="0.15">
      <c r="D11" s="94"/>
      <c r="E11" s="94"/>
      <c r="J11" s="88" t="s">
        <v>60</v>
      </c>
      <c r="K11" s="88" t="s">
        <v>59</v>
      </c>
      <c r="L11" s="88" t="s">
        <v>59</v>
      </c>
      <c r="M11" s="88" t="s">
        <v>106</v>
      </c>
      <c r="N11" s="88" t="s">
        <v>106</v>
      </c>
      <c r="O11" s="88" t="s">
        <v>59</v>
      </c>
      <c r="P11" s="88" t="s">
        <v>106</v>
      </c>
      <c r="Q11" s="88" t="s">
        <v>59</v>
      </c>
      <c r="R11" s="88" t="s">
        <v>59</v>
      </c>
      <c r="S11" s="88" t="s">
        <v>60</v>
      </c>
      <c r="T11" s="88" t="s">
        <v>60</v>
      </c>
      <c r="U11" s="88" t="s">
        <v>59</v>
      </c>
      <c r="V11" s="88" t="s">
        <v>59</v>
      </c>
      <c r="W11" s="88" t="s">
        <v>60</v>
      </c>
      <c r="X11" s="88" t="s">
        <v>59</v>
      </c>
      <c r="Y11" s="88" t="s">
        <v>59</v>
      </c>
      <c r="Z11" s="88" t="s">
        <v>60</v>
      </c>
    </row>
    <row r="12" spans="1:31" s="90" customFormat="1" ht="13.5" customHeight="1" x14ac:dyDescent="0.15">
      <c r="D12" s="94"/>
      <c r="E12" s="94"/>
      <c r="J12" s="35">
        <v>1</v>
      </c>
      <c r="K12" s="35">
        <v>1</v>
      </c>
      <c r="L12" s="35" t="s">
        <v>136</v>
      </c>
      <c r="M12" s="91">
        <v>45395</v>
      </c>
      <c r="N12" s="91">
        <v>45383</v>
      </c>
      <c r="O12" s="35" t="s">
        <v>137</v>
      </c>
      <c r="P12" s="91">
        <v>45407</v>
      </c>
      <c r="Q12" s="35">
        <v>10</v>
      </c>
      <c r="R12" s="35" t="s">
        <v>138</v>
      </c>
      <c r="S12" s="35">
        <v>100</v>
      </c>
      <c r="T12" s="35">
        <v>5</v>
      </c>
      <c r="U12" s="35" t="s">
        <v>139</v>
      </c>
      <c r="V12" s="35" t="s">
        <v>140</v>
      </c>
      <c r="W12" s="35">
        <v>0</v>
      </c>
      <c r="X12" s="35" t="s">
        <v>141</v>
      </c>
      <c r="Y12" s="35" t="s">
        <v>142</v>
      </c>
      <c r="Z12" s="35">
        <v>0</v>
      </c>
    </row>
    <row r="13" spans="1:31" s="90" customFormat="1" ht="13.5" customHeight="1" x14ac:dyDescent="0.15">
      <c r="D13" s="94"/>
      <c r="E13" s="94"/>
    </row>
    <row r="14" spans="1:31" s="90" customFormat="1" ht="13.5" customHeight="1" x14ac:dyDescent="0.15">
      <c r="D14" s="94">
        <v>1</v>
      </c>
      <c r="E14" s="94">
        <v>1</v>
      </c>
      <c r="F14" s="90" t="s">
        <v>66</v>
      </c>
      <c r="G14" t="s">
        <v>144</v>
      </c>
      <c r="H14" s="90" t="s">
        <v>143</v>
      </c>
      <c r="I14" s="90" t="s">
        <v>145</v>
      </c>
      <c r="J14" s="90">
        <v>0</v>
      </c>
    </row>
    <row r="15" spans="1:31" s="90" customFormat="1" ht="13.5" customHeight="1" x14ac:dyDescent="0.15">
      <c r="D15" s="94"/>
      <c r="E15" s="94"/>
    </row>
    <row r="16" spans="1:31" s="90" customFormat="1" ht="13.5" customHeight="1" x14ac:dyDescent="0.15">
      <c r="D16" s="94">
        <v>1</v>
      </c>
      <c r="E16" s="94">
        <v>1</v>
      </c>
      <c r="F16" s="90" t="s">
        <v>66</v>
      </c>
      <c r="G16" t="s">
        <v>144</v>
      </c>
      <c r="H16" s="90" t="s">
        <v>101</v>
      </c>
      <c r="I16" s="90" t="s">
        <v>101</v>
      </c>
      <c r="J16" s="88" t="s">
        <v>125</v>
      </c>
      <c r="K16" s="88" t="s">
        <v>130</v>
      </c>
      <c r="L16" s="88" t="s">
        <v>111</v>
      </c>
      <c r="M16" s="88" t="s">
        <v>131</v>
      </c>
      <c r="N16" s="88" t="s">
        <v>152</v>
      </c>
      <c r="O16" s="88" t="s">
        <v>153</v>
      </c>
      <c r="P16" s="88" t="s">
        <v>154</v>
      </c>
      <c r="Q16" s="88" t="s">
        <v>155</v>
      </c>
      <c r="R16" s="88" t="s">
        <v>156</v>
      </c>
      <c r="S16" s="88" t="s">
        <v>157</v>
      </c>
      <c r="T16" s="88" t="s">
        <v>158</v>
      </c>
      <c r="U16" s="88" t="s">
        <v>159</v>
      </c>
      <c r="V16" s="88" t="s">
        <v>160</v>
      </c>
      <c r="W16" s="88" t="s">
        <v>161</v>
      </c>
      <c r="X16" s="88" t="s">
        <v>162</v>
      </c>
      <c r="Y16" s="88" t="s">
        <v>163</v>
      </c>
      <c r="Z16" s="88" t="s">
        <v>129</v>
      </c>
      <c r="AA16" s="88" t="s">
        <v>127</v>
      </c>
      <c r="AB16" s="88" t="s">
        <v>164</v>
      </c>
      <c r="AC16" s="88" t="s">
        <v>165</v>
      </c>
      <c r="AD16" s="88" t="s">
        <v>166</v>
      </c>
      <c r="AE16" s="88" t="s">
        <v>167</v>
      </c>
    </row>
    <row r="17" spans="4:31" s="90" customFormat="1" ht="13.5" customHeight="1" x14ac:dyDescent="0.15">
      <c r="D17" s="94"/>
      <c r="E17" s="94"/>
      <c r="J17" s="88" t="s">
        <v>103</v>
      </c>
      <c r="K17" s="88" t="s">
        <v>110</v>
      </c>
      <c r="L17" s="88" t="s">
        <v>112</v>
      </c>
      <c r="M17" s="88" t="s">
        <v>113</v>
      </c>
      <c r="N17" s="88" t="s">
        <v>168</v>
      </c>
      <c r="O17" s="88" t="s">
        <v>169</v>
      </c>
      <c r="P17" s="88" t="s">
        <v>170</v>
      </c>
      <c r="Q17" s="88" t="s">
        <v>146</v>
      </c>
      <c r="R17" s="88" t="s">
        <v>171</v>
      </c>
      <c r="S17" s="88" t="s">
        <v>147</v>
      </c>
      <c r="T17" s="88" t="s">
        <v>148</v>
      </c>
      <c r="U17" s="88" t="s">
        <v>149</v>
      </c>
      <c r="V17" s="88" t="s">
        <v>150</v>
      </c>
      <c r="W17" s="88" t="s">
        <v>151</v>
      </c>
      <c r="X17" s="88" t="s">
        <v>172</v>
      </c>
      <c r="Y17" s="88" t="s">
        <v>173</v>
      </c>
      <c r="Z17" s="88" t="s">
        <v>109</v>
      </c>
      <c r="AA17" s="88" t="s">
        <v>107</v>
      </c>
      <c r="AB17" s="88" t="s">
        <v>174</v>
      </c>
      <c r="AC17" s="88" t="s">
        <v>175</v>
      </c>
      <c r="AD17" s="88" t="s">
        <v>176</v>
      </c>
      <c r="AE17" s="88" t="s">
        <v>177</v>
      </c>
    </row>
    <row r="18" spans="4:31" s="90" customFormat="1" ht="13.5" customHeight="1" x14ac:dyDescent="0.15">
      <c r="D18" s="94"/>
      <c r="E18" s="94"/>
      <c r="J18" s="88" t="s">
        <v>60</v>
      </c>
      <c r="K18" s="88" t="s">
        <v>106</v>
      </c>
      <c r="L18" s="88" t="s">
        <v>59</v>
      </c>
      <c r="M18" s="88" t="s">
        <v>59</v>
      </c>
      <c r="N18" s="88" t="s">
        <v>59</v>
      </c>
      <c r="O18" s="88" t="s">
        <v>59</v>
      </c>
      <c r="P18" s="88" t="s">
        <v>59</v>
      </c>
      <c r="Q18" s="88" t="s">
        <v>59</v>
      </c>
      <c r="R18" s="88" t="s">
        <v>59</v>
      </c>
      <c r="S18" s="88" t="s">
        <v>59</v>
      </c>
      <c r="T18" s="88" t="s">
        <v>59</v>
      </c>
      <c r="U18" s="88" t="s">
        <v>59</v>
      </c>
      <c r="V18" s="88" t="s">
        <v>59</v>
      </c>
      <c r="W18" s="88" t="s">
        <v>59</v>
      </c>
      <c r="X18" s="88" t="s">
        <v>59</v>
      </c>
      <c r="Y18" s="88" t="s">
        <v>59</v>
      </c>
      <c r="Z18" s="88" t="s">
        <v>59</v>
      </c>
      <c r="AA18" s="88" t="s">
        <v>106</v>
      </c>
      <c r="AB18" s="88" t="s">
        <v>59</v>
      </c>
      <c r="AC18" s="88" t="s">
        <v>59</v>
      </c>
      <c r="AD18" s="88" t="s">
        <v>59</v>
      </c>
      <c r="AE18" s="88" t="s">
        <v>59</v>
      </c>
    </row>
    <row r="19" spans="4:31" s="90" customFormat="1" ht="13.5" customHeight="1" x14ac:dyDescent="0.15">
      <c r="D19" s="94"/>
      <c r="E19" s="94"/>
      <c r="J19" s="35" t="s">
        <v>185</v>
      </c>
      <c r="K19" s="35" t="s">
        <v>185</v>
      </c>
      <c r="L19" s="35" t="s">
        <v>185</v>
      </c>
      <c r="M19" s="35" t="s">
        <v>185</v>
      </c>
      <c r="N19" s="35" t="s">
        <v>185</v>
      </c>
      <c r="O19" s="35" t="s">
        <v>185</v>
      </c>
      <c r="P19" s="35" t="s">
        <v>185</v>
      </c>
      <c r="Q19" s="35" t="s">
        <v>185</v>
      </c>
      <c r="R19" s="35" t="s">
        <v>185</v>
      </c>
      <c r="S19" s="35" t="s">
        <v>185</v>
      </c>
      <c r="T19" s="35" t="s">
        <v>185</v>
      </c>
      <c r="U19" s="35" t="s">
        <v>185</v>
      </c>
      <c r="V19" s="35" t="s">
        <v>185</v>
      </c>
      <c r="W19" s="35" t="s">
        <v>185</v>
      </c>
      <c r="X19" s="35" t="s">
        <v>185</v>
      </c>
      <c r="Y19" s="35" t="s">
        <v>185</v>
      </c>
      <c r="Z19" s="35" t="s">
        <v>185</v>
      </c>
      <c r="AA19" s="35" t="s">
        <v>185</v>
      </c>
      <c r="AB19" s="35" t="s">
        <v>185</v>
      </c>
      <c r="AC19" s="35" t="s">
        <v>185</v>
      </c>
      <c r="AD19" s="35" t="s">
        <v>185</v>
      </c>
      <c r="AE19" s="35" t="s">
        <v>185</v>
      </c>
    </row>
    <row r="20" spans="4:31" s="90" customFormat="1" ht="13.5" customHeight="1" x14ac:dyDescent="0.15">
      <c r="D20" s="94"/>
      <c r="E20" s="94"/>
    </row>
    <row r="21" spans="4:31" s="90" customFormat="1" ht="13.5" customHeight="1" x14ac:dyDescent="0.15">
      <c r="D21" s="94"/>
      <c r="E21" s="94"/>
    </row>
    <row r="22" spans="4:31" s="90" customFormat="1" ht="13.5" customHeight="1" x14ac:dyDescent="0.15">
      <c r="D22" s="94"/>
      <c r="E22" s="94"/>
    </row>
    <row r="23" spans="4:31" s="90" customFormat="1" x14ac:dyDescent="0.15">
      <c r="D23" s="94"/>
      <c r="E23" s="94"/>
    </row>
    <row r="24" spans="4:31" s="90" customFormat="1" x14ac:dyDescent="0.15">
      <c r="D24" s="94">
        <v>2</v>
      </c>
      <c r="E24" s="94" t="s">
        <v>195</v>
      </c>
      <c r="F24" s="90" t="s">
        <v>62</v>
      </c>
      <c r="G24" s="90" t="s">
        <v>64</v>
      </c>
      <c r="H24" s="90" t="s">
        <v>100</v>
      </c>
      <c r="I24" s="90" t="s">
        <v>100</v>
      </c>
    </row>
    <row r="25" spans="4:31" s="90" customFormat="1" x14ac:dyDescent="0.15">
      <c r="D25" s="94"/>
      <c r="E25" s="94"/>
      <c r="J25" s="88" t="s">
        <v>82</v>
      </c>
      <c r="K25" s="88" t="s">
        <v>90</v>
      </c>
      <c r="L25" s="88" t="s">
        <v>91</v>
      </c>
      <c r="M25" s="88" t="s">
        <v>92</v>
      </c>
      <c r="N25" s="88" t="s">
        <v>93</v>
      </c>
      <c r="O25" s="88" t="s">
        <v>94</v>
      </c>
      <c r="P25" s="88" t="s">
        <v>95</v>
      </c>
    </row>
    <row r="26" spans="4:31" s="90" customFormat="1" x14ac:dyDescent="0.15">
      <c r="D26" s="94"/>
      <c r="E26" s="94"/>
      <c r="J26" s="88" t="s">
        <v>83</v>
      </c>
      <c r="K26" s="88" t="s">
        <v>84</v>
      </c>
      <c r="L26" s="88" t="s">
        <v>85</v>
      </c>
      <c r="M26" s="88" t="s">
        <v>86</v>
      </c>
      <c r="N26" s="88" t="s">
        <v>87</v>
      </c>
      <c r="O26" s="88" t="s">
        <v>88</v>
      </c>
      <c r="P26" s="88" t="s">
        <v>89</v>
      </c>
    </row>
    <row r="27" spans="4:31" s="90" customFormat="1" x14ac:dyDescent="0.15">
      <c r="D27" s="94"/>
      <c r="E27" s="94"/>
      <c r="J27" s="88" t="s">
        <v>96</v>
      </c>
      <c r="K27" s="88" t="s">
        <v>97</v>
      </c>
      <c r="L27" s="88" t="s">
        <v>98</v>
      </c>
      <c r="M27" s="88" t="s">
        <v>99</v>
      </c>
      <c r="N27" s="88" t="s">
        <v>99</v>
      </c>
      <c r="O27" s="88" t="s">
        <v>98</v>
      </c>
      <c r="P27" s="88" t="s">
        <v>98</v>
      </c>
    </row>
    <row r="28" spans="4:31" s="90" customFormat="1" x14ac:dyDescent="0.15">
      <c r="D28" s="94"/>
      <c r="E28" s="94"/>
      <c r="J28" s="35">
        <v>202604</v>
      </c>
      <c r="K28" s="35">
        <v>202406</v>
      </c>
      <c r="L28" s="35" t="s">
        <v>67</v>
      </c>
      <c r="M28" s="35" t="s">
        <v>65</v>
      </c>
      <c r="N28" s="35" t="s">
        <v>63</v>
      </c>
      <c r="O28" s="35" t="s">
        <v>63</v>
      </c>
      <c r="P28" s="35" t="s">
        <v>68</v>
      </c>
    </row>
    <row r="29" spans="4:31" s="90" customFormat="1" x14ac:dyDescent="0.15">
      <c r="D29" s="94"/>
      <c r="E29" s="94"/>
    </row>
    <row r="30" spans="4:31" s="90" customFormat="1" x14ac:dyDescent="0.15">
      <c r="D30" s="94">
        <v>2</v>
      </c>
      <c r="E30" s="94">
        <v>1</v>
      </c>
      <c r="F30" s="90" t="s">
        <v>62</v>
      </c>
      <c r="G30" s="90" t="s">
        <v>64</v>
      </c>
      <c r="H30" s="90" t="s">
        <v>102</v>
      </c>
      <c r="I30" s="90" t="s">
        <v>102</v>
      </c>
    </row>
    <row r="31" spans="4:31" s="90" customFormat="1" ht="13.5" customHeight="1" x14ac:dyDescent="0.15">
      <c r="D31" s="94"/>
      <c r="E31" s="94"/>
      <c r="J31" s="88" t="s">
        <v>125</v>
      </c>
      <c r="K31" s="88" t="s">
        <v>126</v>
      </c>
      <c r="L31" s="88" t="s">
        <v>69</v>
      </c>
      <c r="M31" s="88" t="s">
        <v>127</v>
      </c>
      <c r="N31" s="88" t="s">
        <v>128</v>
      </c>
      <c r="O31" s="88" t="s">
        <v>129</v>
      </c>
      <c r="P31" s="88" t="s">
        <v>130</v>
      </c>
      <c r="Q31" s="88" t="s">
        <v>111</v>
      </c>
      <c r="R31" s="88" t="s">
        <v>131</v>
      </c>
      <c r="S31" s="88" t="s">
        <v>132</v>
      </c>
      <c r="T31" s="88" t="s">
        <v>133</v>
      </c>
      <c r="U31" s="88" t="s">
        <v>134</v>
      </c>
      <c r="V31" s="88" t="s">
        <v>117</v>
      </c>
      <c r="W31" s="88" t="s">
        <v>30</v>
      </c>
      <c r="X31" s="88" t="s">
        <v>135</v>
      </c>
      <c r="Y31" s="88" t="s">
        <v>121</v>
      </c>
      <c r="Z31" s="88" t="s">
        <v>123</v>
      </c>
    </row>
    <row r="32" spans="4:31" s="90" customFormat="1" ht="13.5" customHeight="1" x14ac:dyDescent="0.15">
      <c r="D32" s="94"/>
      <c r="E32" s="94"/>
      <c r="J32" s="88" t="s">
        <v>103</v>
      </c>
      <c r="K32" s="88" t="s">
        <v>104</v>
      </c>
      <c r="L32" s="88" t="s">
        <v>105</v>
      </c>
      <c r="M32" s="88" t="s">
        <v>107</v>
      </c>
      <c r="N32" s="88" t="s">
        <v>108</v>
      </c>
      <c r="O32" s="88" t="s">
        <v>109</v>
      </c>
      <c r="P32" s="88" t="s">
        <v>110</v>
      </c>
      <c r="Q32" s="88" t="s">
        <v>112</v>
      </c>
      <c r="R32" s="88" t="s">
        <v>113</v>
      </c>
      <c r="S32" s="88" t="s">
        <v>114</v>
      </c>
      <c r="T32" s="88" t="s">
        <v>115</v>
      </c>
      <c r="U32" s="88" t="s">
        <v>116</v>
      </c>
      <c r="V32" s="88" t="s">
        <v>118</v>
      </c>
      <c r="W32" s="88" t="s">
        <v>119</v>
      </c>
      <c r="X32" s="88" t="s">
        <v>120</v>
      </c>
      <c r="Y32" s="88" t="s">
        <v>122</v>
      </c>
      <c r="Z32" s="88" t="s">
        <v>124</v>
      </c>
    </row>
    <row r="33" spans="4:31" s="90" customFormat="1" ht="13.5" customHeight="1" x14ac:dyDescent="0.15">
      <c r="D33" s="94"/>
      <c r="E33" s="94"/>
      <c r="J33" s="88" t="s">
        <v>60</v>
      </c>
      <c r="K33" s="88" t="s">
        <v>59</v>
      </c>
      <c r="L33" s="88" t="s">
        <v>59</v>
      </c>
      <c r="M33" s="88" t="s">
        <v>106</v>
      </c>
      <c r="N33" s="88" t="s">
        <v>106</v>
      </c>
      <c r="O33" s="88" t="s">
        <v>59</v>
      </c>
      <c r="P33" s="88" t="s">
        <v>106</v>
      </c>
      <c r="Q33" s="88" t="s">
        <v>59</v>
      </c>
      <c r="R33" s="88" t="s">
        <v>59</v>
      </c>
      <c r="S33" s="88" t="s">
        <v>60</v>
      </c>
      <c r="T33" s="88" t="s">
        <v>60</v>
      </c>
      <c r="U33" s="88" t="s">
        <v>59</v>
      </c>
      <c r="V33" s="88" t="s">
        <v>59</v>
      </c>
      <c r="W33" s="88" t="s">
        <v>60</v>
      </c>
      <c r="X33" s="88" t="s">
        <v>59</v>
      </c>
      <c r="Y33" s="88" t="s">
        <v>59</v>
      </c>
      <c r="Z33" s="88" t="s">
        <v>60</v>
      </c>
    </row>
    <row r="34" spans="4:31" s="90" customFormat="1" ht="13.5" customHeight="1" x14ac:dyDescent="0.15">
      <c r="D34" s="94"/>
      <c r="E34" s="94"/>
      <c r="J34" s="35">
        <v>1</v>
      </c>
      <c r="K34" s="35">
        <v>1</v>
      </c>
      <c r="L34" s="35" t="s">
        <v>136</v>
      </c>
      <c r="M34" s="91">
        <v>45395</v>
      </c>
      <c r="N34" s="91">
        <v>45383</v>
      </c>
      <c r="O34" s="35" t="s">
        <v>137</v>
      </c>
      <c r="P34" s="91">
        <v>45407</v>
      </c>
      <c r="Q34" s="35">
        <v>10</v>
      </c>
      <c r="R34" s="35" t="s">
        <v>138</v>
      </c>
      <c r="S34" s="35">
        <v>100</v>
      </c>
      <c r="T34" s="35">
        <v>5</v>
      </c>
      <c r="U34" s="35" t="s">
        <v>139</v>
      </c>
      <c r="V34" s="35" t="s">
        <v>140</v>
      </c>
      <c r="W34" s="35">
        <v>0</v>
      </c>
      <c r="X34" s="35" t="s">
        <v>141</v>
      </c>
      <c r="Y34" s="35" t="s">
        <v>142</v>
      </c>
      <c r="Z34" s="35">
        <v>0</v>
      </c>
    </row>
    <row r="35" spans="4:31" s="90" customFormat="1" ht="13.5" customHeight="1" x14ac:dyDescent="0.15">
      <c r="D35" s="94"/>
      <c r="E35" s="94"/>
    </row>
    <row r="36" spans="4:31" s="90" customFormat="1" ht="13.5" customHeight="1" x14ac:dyDescent="0.15">
      <c r="D36" s="94">
        <v>2</v>
      </c>
      <c r="E36" s="94">
        <v>1</v>
      </c>
      <c r="F36" s="90" t="s">
        <v>66</v>
      </c>
      <c r="G36" t="s">
        <v>144</v>
      </c>
      <c r="H36" s="90" t="s">
        <v>143</v>
      </c>
      <c r="I36" s="90" t="s">
        <v>145</v>
      </c>
      <c r="J36" s="90">
        <v>1</v>
      </c>
    </row>
    <row r="37" spans="4:31" s="90" customFormat="1" ht="13.5" customHeight="1" x14ac:dyDescent="0.15">
      <c r="D37" s="94"/>
      <c r="E37" s="94"/>
    </row>
    <row r="38" spans="4:31" s="90" customFormat="1" ht="13.5" customHeight="1" x14ac:dyDescent="0.15">
      <c r="D38" s="94">
        <v>2</v>
      </c>
      <c r="E38" s="94">
        <v>1</v>
      </c>
      <c r="F38" s="90" t="s">
        <v>66</v>
      </c>
      <c r="G38" t="s">
        <v>144</v>
      </c>
      <c r="H38" s="90" t="s">
        <v>101</v>
      </c>
      <c r="I38" s="90" t="s">
        <v>101</v>
      </c>
      <c r="J38" s="88" t="s">
        <v>125</v>
      </c>
      <c r="K38" s="88" t="s">
        <v>130</v>
      </c>
      <c r="L38" s="88" t="s">
        <v>111</v>
      </c>
      <c r="M38" s="88" t="s">
        <v>131</v>
      </c>
      <c r="N38" s="88" t="s">
        <v>152</v>
      </c>
      <c r="O38" s="88" t="s">
        <v>153</v>
      </c>
      <c r="P38" s="88" t="s">
        <v>154</v>
      </c>
      <c r="Q38" s="88" t="s">
        <v>155</v>
      </c>
      <c r="R38" s="88" t="s">
        <v>156</v>
      </c>
      <c r="S38" s="88" t="s">
        <v>157</v>
      </c>
      <c r="T38" s="88" t="s">
        <v>158</v>
      </c>
      <c r="U38" s="88" t="s">
        <v>159</v>
      </c>
      <c r="V38" s="88" t="s">
        <v>160</v>
      </c>
      <c r="W38" s="88" t="s">
        <v>161</v>
      </c>
      <c r="X38" s="88" t="s">
        <v>162</v>
      </c>
      <c r="Y38" s="88" t="s">
        <v>163</v>
      </c>
      <c r="Z38" s="88" t="s">
        <v>129</v>
      </c>
      <c r="AA38" s="88" t="s">
        <v>127</v>
      </c>
      <c r="AB38" s="88" t="s">
        <v>164</v>
      </c>
      <c r="AC38" s="88" t="s">
        <v>165</v>
      </c>
      <c r="AD38" s="88" t="s">
        <v>166</v>
      </c>
      <c r="AE38" s="88" t="s">
        <v>167</v>
      </c>
    </row>
    <row r="39" spans="4:31" s="90" customFormat="1" ht="13.5" customHeight="1" x14ac:dyDescent="0.15">
      <c r="D39" s="95"/>
      <c r="E39" s="95"/>
      <c r="J39" s="88" t="s">
        <v>103</v>
      </c>
      <c r="K39" s="88" t="s">
        <v>110</v>
      </c>
      <c r="L39" s="88" t="s">
        <v>112</v>
      </c>
      <c r="M39" s="88" t="s">
        <v>113</v>
      </c>
      <c r="N39" s="88" t="s">
        <v>168</v>
      </c>
      <c r="O39" s="88" t="s">
        <v>169</v>
      </c>
      <c r="P39" s="88" t="s">
        <v>170</v>
      </c>
      <c r="Q39" s="88" t="s">
        <v>146</v>
      </c>
      <c r="R39" s="88" t="s">
        <v>171</v>
      </c>
      <c r="S39" s="88" t="s">
        <v>147</v>
      </c>
      <c r="T39" s="88" t="s">
        <v>148</v>
      </c>
      <c r="U39" s="88" t="s">
        <v>149</v>
      </c>
      <c r="V39" s="88" t="s">
        <v>150</v>
      </c>
      <c r="W39" s="88" t="s">
        <v>151</v>
      </c>
      <c r="X39" s="88" t="s">
        <v>172</v>
      </c>
      <c r="Y39" s="88" t="s">
        <v>173</v>
      </c>
      <c r="Z39" s="88" t="s">
        <v>109</v>
      </c>
      <c r="AA39" s="88" t="s">
        <v>107</v>
      </c>
      <c r="AB39" s="88" t="s">
        <v>174</v>
      </c>
      <c r="AC39" s="88" t="s">
        <v>175</v>
      </c>
      <c r="AD39" s="88" t="s">
        <v>176</v>
      </c>
      <c r="AE39" s="88" t="s">
        <v>177</v>
      </c>
    </row>
    <row r="40" spans="4:31" s="90" customFormat="1" ht="13.5" customHeight="1" x14ac:dyDescent="0.15">
      <c r="D40" s="95"/>
      <c r="E40" s="95"/>
      <c r="J40" s="88" t="s">
        <v>60</v>
      </c>
      <c r="K40" s="88" t="s">
        <v>106</v>
      </c>
      <c r="L40" s="88" t="s">
        <v>59</v>
      </c>
      <c r="M40" s="88" t="s">
        <v>59</v>
      </c>
      <c r="N40" s="88" t="s">
        <v>59</v>
      </c>
      <c r="O40" s="88" t="s">
        <v>59</v>
      </c>
      <c r="P40" s="88" t="s">
        <v>59</v>
      </c>
      <c r="Q40" s="88" t="s">
        <v>59</v>
      </c>
      <c r="R40" s="88" t="s">
        <v>59</v>
      </c>
      <c r="S40" s="88" t="s">
        <v>59</v>
      </c>
      <c r="T40" s="88" t="s">
        <v>59</v>
      </c>
      <c r="U40" s="88" t="s">
        <v>59</v>
      </c>
      <c r="V40" s="88" t="s">
        <v>59</v>
      </c>
      <c r="W40" s="88" t="s">
        <v>59</v>
      </c>
      <c r="X40" s="88" t="s">
        <v>59</v>
      </c>
      <c r="Y40" s="88" t="s">
        <v>59</v>
      </c>
      <c r="Z40" s="88" t="s">
        <v>59</v>
      </c>
      <c r="AA40" s="88" t="s">
        <v>106</v>
      </c>
      <c r="AB40" s="88" t="s">
        <v>59</v>
      </c>
      <c r="AC40" s="88" t="s">
        <v>59</v>
      </c>
      <c r="AD40" s="88" t="s">
        <v>59</v>
      </c>
      <c r="AE40" s="88" t="s">
        <v>59</v>
      </c>
    </row>
    <row r="41" spans="4:31" s="90" customFormat="1" ht="13.5" customHeight="1" x14ac:dyDescent="0.15">
      <c r="D41" s="95"/>
      <c r="E41" s="95"/>
      <c r="J41" s="92">
        <v>1</v>
      </c>
      <c r="K41" s="93">
        <v>45407</v>
      </c>
      <c r="L41" s="92">
        <v>10</v>
      </c>
      <c r="M41" s="92" t="s">
        <v>138</v>
      </c>
      <c r="N41" s="92">
        <v>1</v>
      </c>
      <c r="O41" s="92" t="s">
        <v>178</v>
      </c>
      <c r="P41" s="92">
        <v>1234</v>
      </c>
      <c r="Q41" s="92" t="s">
        <v>179</v>
      </c>
      <c r="R41" s="92">
        <v>1</v>
      </c>
      <c r="S41" s="92" t="s">
        <v>180</v>
      </c>
      <c r="T41" s="92">
        <v>1</v>
      </c>
      <c r="U41" s="92" t="s">
        <v>181</v>
      </c>
      <c r="V41" s="92">
        <v>100</v>
      </c>
      <c r="W41" s="92" t="s">
        <v>182</v>
      </c>
      <c r="X41" s="92">
        <v>9999</v>
      </c>
      <c r="Y41" s="92" t="s">
        <v>183</v>
      </c>
      <c r="Z41" s="92" t="s">
        <v>137</v>
      </c>
      <c r="AA41" s="93">
        <v>45395</v>
      </c>
      <c r="AB41" s="92">
        <v>1</v>
      </c>
      <c r="AC41" s="92">
        <v>8888</v>
      </c>
      <c r="AD41" s="92" t="s">
        <v>184</v>
      </c>
      <c r="AE41" s="93">
        <v>45412</v>
      </c>
    </row>
    <row r="42" spans="4:31" s="90" customFormat="1" x14ac:dyDescent="0.15">
      <c r="D42" s="95"/>
      <c r="E42" s="95"/>
    </row>
    <row r="43" spans="4:31" s="90" customFormat="1" x14ac:dyDescent="0.15">
      <c r="D43" s="95"/>
      <c r="E43" s="95"/>
    </row>
    <row r="44" spans="4:31" s="90" customFormat="1" x14ac:dyDescent="0.15">
      <c r="D44" s="95"/>
      <c r="E44" s="95"/>
    </row>
    <row r="45" spans="4:31" s="90" customFormat="1" x14ac:dyDescent="0.15">
      <c r="D45" s="95"/>
      <c r="E45" s="95"/>
    </row>
    <row r="46" spans="4:31" s="90" customFormat="1" x14ac:dyDescent="0.15">
      <c r="D46" s="94">
        <v>3</v>
      </c>
      <c r="E46" s="94" t="s">
        <v>61</v>
      </c>
      <c r="F46" s="90" t="s">
        <v>62</v>
      </c>
      <c r="G46" s="90" t="s">
        <v>64</v>
      </c>
      <c r="H46" s="90" t="s">
        <v>100</v>
      </c>
      <c r="I46" s="90" t="s">
        <v>100</v>
      </c>
    </row>
    <row r="47" spans="4:31" s="90" customFormat="1" x14ac:dyDescent="0.15">
      <c r="D47" s="94"/>
      <c r="E47" s="94"/>
      <c r="J47" s="88" t="s">
        <v>82</v>
      </c>
      <c r="K47" s="88" t="s">
        <v>90</v>
      </c>
      <c r="L47" s="88" t="s">
        <v>91</v>
      </c>
      <c r="M47" s="88" t="s">
        <v>92</v>
      </c>
      <c r="N47" s="88" t="s">
        <v>93</v>
      </c>
      <c r="O47" s="88" t="s">
        <v>94</v>
      </c>
      <c r="P47" s="88" t="s">
        <v>95</v>
      </c>
    </row>
    <row r="48" spans="4:31" s="90" customFormat="1" x14ac:dyDescent="0.15">
      <c r="D48" s="94"/>
      <c r="E48" s="94"/>
      <c r="J48" s="88" t="s">
        <v>83</v>
      </c>
      <c r="K48" s="88" t="s">
        <v>84</v>
      </c>
      <c r="L48" s="88" t="s">
        <v>85</v>
      </c>
      <c r="M48" s="88" t="s">
        <v>86</v>
      </c>
      <c r="N48" s="88" t="s">
        <v>87</v>
      </c>
      <c r="O48" s="88" t="s">
        <v>88</v>
      </c>
      <c r="P48" s="88" t="s">
        <v>89</v>
      </c>
    </row>
    <row r="49" spans="4:31" s="90" customFormat="1" x14ac:dyDescent="0.15">
      <c r="D49" s="94"/>
      <c r="E49" s="94"/>
      <c r="J49" s="88" t="s">
        <v>96</v>
      </c>
      <c r="K49" s="88" t="s">
        <v>97</v>
      </c>
      <c r="L49" s="88" t="s">
        <v>98</v>
      </c>
      <c r="M49" s="88" t="s">
        <v>99</v>
      </c>
      <c r="N49" s="88" t="s">
        <v>99</v>
      </c>
      <c r="O49" s="88" t="s">
        <v>98</v>
      </c>
      <c r="P49" s="88" t="s">
        <v>98</v>
      </c>
    </row>
    <row r="50" spans="4:31" s="90" customFormat="1" x14ac:dyDescent="0.15">
      <c r="D50" s="94"/>
      <c r="E50" s="94"/>
      <c r="J50" s="35">
        <v>202604</v>
      </c>
      <c r="K50" s="35">
        <v>202406</v>
      </c>
      <c r="L50" s="35" t="s">
        <v>67</v>
      </c>
      <c r="M50" s="35" t="s">
        <v>65</v>
      </c>
      <c r="N50" s="35" t="s">
        <v>63</v>
      </c>
      <c r="O50" s="35" t="s">
        <v>63</v>
      </c>
      <c r="P50" s="35" t="s">
        <v>68</v>
      </c>
    </row>
    <row r="51" spans="4:31" s="90" customFormat="1" x14ac:dyDescent="0.15">
      <c r="D51" s="94"/>
      <c r="E51" s="94"/>
    </row>
    <row r="52" spans="4:31" s="90" customFormat="1" x14ac:dyDescent="0.15">
      <c r="D52" s="94">
        <v>3</v>
      </c>
      <c r="E52" s="94">
        <v>1</v>
      </c>
      <c r="F52" s="90" t="s">
        <v>62</v>
      </c>
      <c r="G52" s="90" t="s">
        <v>64</v>
      </c>
      <c r="H52" s="90" t="s">
        <v>102</v>
      </c>
      <c r="I52" s="90" t="s">
        <v>102</v>
      </c>
    </row>
    <row r="53" spans="4:31" s="90" customFormat="1" ht="13.5" customHeight="1" x14ac:dyDescent="0.15">
      <c r="D53" s="94"/>
      <c r="E53" s="94"/>
      <c r="J53" s="88" t="s">
        <v>125</v>
      </c>
      <c r="K53" s="88" t="s">
        <v>126</v>
      </c>
      <c r="L53" s="88" t="s">
        <v>69</v>
      </c>
      <c r="M53" s="88" t="s">
        <v>127</v>
      </c>
      <c r="N53" s="88" t="s">
        <v>128</v>
      </c>
      <c r="O53" s="88" t="s">
        <v>129</v>
      </c>
      <c r="P53" s="88" t="s">
        <v>130</v>
      </c>
      <c r="Q53" s="88" t="s">
        <v>111</v>
      </c>
      <c r="R53" s="88" t="s">
        <v>131</v>
      </c>
      <c r="S53" s="88" t="s">
        <v>132</v>
      </c>
      <c r="T53" s="88" t="s">
        <v>133</v>
      </c>
      <c r="U53" s="88" t="s">
        <v>134</v>
      </c>
      <c r="V53" s="88" t="s">
        <v>117</v>
      </c>
      <c r="W53" s="88" t="s">
        <v>30</v>
      </c>
      <c r="X53" s="88" t="s">
        <v>135</v>
      </c>
      <c r="Y53" s="88" t="s">
        <v>121</v>
      </c>
      <c r="Z53" s="88" t="s">
        <v>123</v>
      </c>
    </row>
    <row r="54" spans="4:31" s="90" customFormat="1" ht="13.5" customHeight="1" x14ac:dyDescent="0.15">
      <c r="D54" s="94"/>
      <c r="E54" s="94"/>
      <c r="J54" s="88" t="s">
        <v>103</v>
      </c>
      <c r="K54" s="88" t="s">
        <v>104</v>
      </c>
      <c r="L54" s="88" t="s">
        <v>105</v>
      </c>
      <c r="M54" s="88" t="s">
        <v>107</v>
      </c>
      <c r="N54" s="88" t="s">
        <v>108</v>
      </c>
      <c r="O54" s="88" t="s">
        <v>109</v>
      </c>
      <c r="P54" s="88" t="s">
        <v>110</v>
      </c>
      <c r="Q54" s="88" t="s">
        <v>112</v>
      </c>
      <c r="R54" s="88" t="s">
        <v>113</v>
      </c>
      <c r="S54" s="88" t="s">
        <v>114</v>
      </c>
      <c r="T54" s="88" t="s">
        <v>115</v>
      </c>
      <c r="U54" s="88" t="s">
        <v>116</v>
      </c>
      <c r="V54" s="88" t="s">
        <v>118</v>
      </c>
      <c r="W54" s="88" t="s">
        <v>119</v>
      </c>
      <c r="X54" s="88" t="s">
        <v>120</v>
      </c>
      <c r="Y54" s="88" t="s">
        <v>122</v>
      </c>
      <c r="Z54" s="88" t="s">
        <v>124</v>
      </c>
    </row>
    <row r="55" spans="4:31" s="90" customFormat="1" ht="13.5" customHeight="1" x14ac:dyDescent="0.15">
      <c r="D55" s="94"/>
      <c r="E55" s="94"/>
      <c r="J55" s="88" t="s">
        <v>60</v>
      </c>
      <c r="K55" s="88" t="s">
        <v>59</v>
      </c>
      <c r="L55" s="88" t="s">
        <v>59</v>
      </c>
      <c r="M55" s="88" t="s">
        <v>106</v>
      </c>
      <c r="N55" s="88" t="s">
        <v>106</v>
      </c>
      <c r="O55" s="88" t="s">
        <v>59</v>
      </c>
      <c r="P55" s="88" t="s">
        <v>106</v>
      </c>
      <c r="Q55" s="88" t="s">
        <v>59</v>
      </c>
      <c r="R55" s="88" t="s">
        <v>59</v>
      </c>
      <c r="S55" s="88" t="s">
        <v>60</v>
      </c>
      <c r="T55" s="88" t="s">
        <v>60</v>
      </c>
      <c r="U55" s="88" t="s">
        <v>59</v>
      </c>
      <c r="V55" s="88" t="s">
        <v>59</v>
      </c>
      <c r="W55" s="88" t="s">
        <v>60</v>
      </c>
      <c r="X55" s="88" t="s">
        <v>59</v>
      </c>
      <c r="Y55" s="88" t="s">
        <v>59</v>
      </c>
      <c r="Z55" s="88" t="s">
        <v>60</v>
      </c>
    </row>
    <row r="56" spans="4:31" s="90" customFormat="1" ht="13.5" customHeight="1" x14ac:dyDescent="0.15">
      <c r="D56" s="94"/>
      <c r="E56" s="94"/>
      <c r="J56" s="35">
        <v>1</v>
      </c>
      <c r="K56" s="35">
        <v>1</v>
      </c>
      <c r="L56" s="35" t="s">
        <v>136</v>
      </c>
      <c r="M56" s="91">
        <v>45395</v>
      </c>
      <c r="N56" s="91">
        <v>45383</v>
      </c>
      <c r="O56" s="35" t="s">
        <v>137</v>
      </c>
      <c r="P56" s="91">
        <v>45407</v>
      </c>
      <c r="Q56" s="35">
        <v>10</v>
      </c>
      <c r="R56" s="35" t="s">
        <v>138</v>
      </c>
      <c r="S56" s="35">
        <v>100</v>
      </c>
      <c r="T56" s="35">
        <v>5</v>
      </c>
      <c r="U56" s="35" t="s">
        <v>139</v>
      </c>
      <c r="V56" s="35" t="s">
        <v>140</v>
      </c>
      <c r="W56" s="35">
        <v>0</v>
      </c>
      <c r="X56" s="35" t="s">
        <v>141</v>
      </c>
      <c r="Y56" s="35" t="s">
        <v>142</v>
      </c>
      <c r="Z56" s="35">
        <v>0</v>
      </c>
    </row>
    <row r="57" spans="4:31" s="90" customFormat="1" ht="13.5" customHeight="1" x14ac:dyDescent="0.15">
      <c r="D57" s="94"/>
      <c r="E57" s="94"/>
    </row>
    <row r="58" spans="4:31" s="90" customFormat="1" ht="13.5" customHeight="1" x14ac:dyDescent="0.15">
      <c r="D58" s="94">
        <v>3</v>
      </c>
      <c r="E58" s="94">
        <v>1</v>
      </c>
      <c r="F58" s="90" t="s">
        <v>66</v>
      </c>
      <c r="G58" t="s">
        <v>144</v>
      </c>
      <c r="H58" s="90" t="s">
        <v>143</v>
      </c>
      <c r="I58" s="90" t="s">
        <v>145</v>
      </c>
      <c r="J58" s="90">
        <v>2</v>
      </c>
    </row>
    <row r="59" spans="4:31" s="90" customFormat="1" ht="13.5" customHeight="1" x14ac:dyDescent="0.15">
      <c r="D59" s="94"/>
      <c r="E59" s="94"/>
    </row>
    <row r="60" spans="4:31" s="90" customFormat="1" ht="13.5" customHeight="1" x14ac:dyDescent="0.15">
      <c r="D60" s="94">
        <v>3</v>
      </c>
      <c r="E60" s="94">
        <v>1</v>
      </c>
      <c r="F60" s="90" t="s">
        <v>66</v>
      </c>
      <c r="G60" t="s">
        <v>144</v>
      </c>
      <c r="H60" s="90" t="s">
        <v>101</v>
      </c>
      <c r="I60" s="90" t="s">
        <v>101</v>
      </c>
      <c r="J60" s="88" t="s">
        <v>125</v>
      </c>
      <c r="K60" s="88" t="s">
        <v>130</v>
      </c>
      <c r="L60" s="88" t="s">
        <v>111</v>
      </c>
      <c r="M60" s="88" t="s">
        <v>131</v>
      </c>
      <c r="N60" s="88" t="s">
        <v>152</v>
      </c>
      <c r="O60" s="88" t="s">
        <v>153</v>
      </c>
      <c r="P60" s="88" t="s">
        <v>154</v>
      </c>
      <c r="Q60" s="88" t="s">
        <v>155</v>
      </c>
      <c r="R60" s="88" t="s">
        <v>156</v>
      </c>
      <c r="S60" s="88" t="s">
        <v>157</v>
      </c>
      <c r="T60" s="88" t="s">
        <v>158</v>
      </c>
      <c r="U60" s="88" t="s">
        <v>159</v>
      </c>
      <c r="V60" s="88" t="s">
        <v>160</v>
      </c>
      <c r="W60" s="88" t="s">
        <v>161</v>
      </c>
      <c r="X60" s="88" t="s">
        <v>162</v>
      </c>
      <c r="Y60" s="88" t="s">
        <v>163</v>
      </c>
      <c r="Z60" s="88" t="s">
        <v>129</v>
      </c>
      <c r="AA60" s="88" t="s">
        <v>127</v>
      </c>
      <c r="AB60" s="88" t="s">
        <v>164</v>
      </c>
      <c r="AC60" s="88" t="s">
        <v>165</v>
      </c>
      <c r="AD60" s="88" t="s">
        <v>166</v>
      </c>
      <c r="AE60" s="88" t="s">
        <v>167</v>
      </c>
    </row>
    <row r="61" spans="4:31" s="90" customFormat="1" ht="13.5" customHeight="1" x14ac:dyDescent="0.15">
      <c r="J61" s="88" t="s">
        <v>103</v>
      </c>
      <c r="K61" s="88" t="s">
        <v>110</v>
      </c>
      <c r="L61" s="88" t="s">
        <v>112</v>
      </c>
      <c r="M61" s="88" t="s">
        <v>113</v>
      </c>
      <c r="N61" s="88" t="s">
        <v>168</v>
      </c>
      <c r="O61" s="88" t="s">
        <v>169</v>
      </c>
      <c r="P61" s="88" t="s">
        <v>170</v>
      </c>
      <c r="Q61" s="88" t="s">
        <v>146</v>
      </c>
      <c r="R61" s="88" t="s">
        <v>171</v>
      </c>
      <c r="S61" s="88" t="s">
        <v>147</v>
      </c>
      <c r="T61" s="88" t="s">
        <v>148</v>
      </c>
      <c r="U61" s="88" t="s">
        <v>149</v>
      </c>
      <c r="V61" s="88" t="s">
        <v>150</v>
      </c>
      <c r="W61" s="88" t="s">
        <v>151</v>
      </c>
      <c r="X61" s="88" t="s">
        <v>172</v>
      </c>
      <c r="Y61" s="88" t="s">
        <v>173</v>
      </c>
      <c r="Z61" s="88" t="s">
        <v>109</v>
      </c>
      <c r="AA61" s="88" t="s">
        <v>107</v>
      </c>
      <c r="AB61" s="88" t="s">
        <v>174</v>
      </c>
      <c r="AC61" s="88" t="s">
        <v>175</v>
      </c>
      <c r="AD61" s="88" t="s">
        <v>176</v>
      </c>
      <c r="AE61" s="88" t="s">
        <v>177</v>
      </c>
    </row>
    <row r="62" spans="4:31" s="90" customFormat="1" ht="13.5" customHeight="1" x14ac:dyDescent="0.15">
      <c r="J62" s="88" t="s">
        <v>60</v>
      </c>
      <c r="K62" s="88" t="s">
        <v>106</v>
      </c>
      <c r="L62" s="88" t="s">
        <v>59</v>
      </c>
      <c r="M62" s="88" t="s">
        <v>59</v>
      </c>
      <c r="N62" s="88" t="s">
        <v>59</v>
      </c>
      <c r="O62" s="88" t="s">
        <v>59</v>
      </c>
      <c r="P62" s="88" t="s">
        <v>59</v>
      </c>
      <c r="Q62" s="88" t="s">
        <v>59</v>
      </c>
      <c r="R62" s="88" t="s">
        <v>59</v>
      </c>
      <c r="S62" s="88" t="s">
        <v>59</v>
      </c>
      <c r="T62" s="88" t="s">
        <v>59</v>
      </c>
      <c r="U62" s="88" t="s">
        <v>59</v>
      </c>
      <c r="V62" s="88" t="s">
        <v>59</v>
      </c>
      <c r="W62" s="88" t="s">
        <v>59</v>
      </c>
      <c r="X62" s="88" t="s">
        <v>59</v>
      </c>
      <c r="Y62" s="88" t="s">
        <v>59</v>
      </c>
      <c r="Z62" s="88" t="s">
        <v>59</v>
      </c>
      <c r="AA62" s="88" t="s">
        <v>106</v>
      </c>
      <c r="AB62" s="88" t="s">
        <v>59</v>
      </c>
      <c r="AC62" s="88" t="s">
        <v>59</v>
      </c>
      <c r="AD62" s="88" t="s">
        <v>59</v>
      </c>
      <c r="AE62" s="88" t="s">
        <v>59</v>
      </c>
    </row>
    <row r="63" spans="4:31" s="90" customFormat="1" ht="13.5" customHeight="1" x14ac:dyDescent="0.15">
      <c r="J63" s="92">
        <v>1</v>
      </c>
      <c r="K63" s="93">
        <v>45407</v>
      </c>
      <c r="L63" s="92">
        <v>10</v>
      </c>
      <c r="M63" s="92" t="s">
        <v>138</v>
      </c>
      <c r="N63" s="92">
        <v>1</v>
      </c>
      <c r="O63" s="92" t="s">
        <v>178</v>
      </c>
      <c r="P63" s="92">
        <v>1234</v>
      </c>
      <c r="Q63" s="92" t="s">
        <v>179</v>
      </c>
      <c r="R63" s="92">
        <v>1</v>
      </c>
      <c r="S63" s="92" t="s">
        <v>180</v>
      </c>
      <c r="T63" s="92">
        <v>1</v>
      </c>
      <c r="U63" s="92" t="s">
        <v>181</v>
      </c>
      <c r="V63" s="92">
        <v>100</v>
      </c>
      <c r="W63" s="92" t="s">
        <v>182</v>
      </c>
      <c r="X63" s="92">
        <v>9999</v>
      </c>
      <c r="Y63" s="92" t="s">
        <v>183</v>
      </c>
      <c r="Z63" s="92" t="s">
        <v>137</v>
      </c>
      <c r="AA63" s="93">
        <v>45395</v>
      </c>
      <c r="AB63" s="92">
        <v>1</v>
      </c>
      <c r="AC63" s="92">
        <v>8888</v>
      </c>
      <c r="AD63" s="92" t="s">
        <v>184</v>
      </c>
      <c r="AE63" s="93">
        <v>45412</v>
      </c>
    </row>
    <row r="64" spans="4:31" s="90" customFormat="1" x14ac:dyDescent="0.15">
      <c r="J64" s="92">
        <v>2</v>
      </c>
      <c r="K64" s="93">
        <v>45437</v>
      </c>
      <c r="L64" s="92">
        <v>20</v>
      </c>
      <c r="M64" s="92" t="s">
        <v>186</v>
      </c>
      <c r="N64" s="92">
        <v>2</v>
      </c>
      <c r="O64" s="92" t="s">
        <v>187</v>
      </c>
      <c r="P64" s="92">
        <v>5678</v>
      </c>
      <c r="Q64" s="92" t="s">
        <v>188</v>
      </c>
      <c r="R64" s="92">
        <v>2</v>
      </c>
      <c r="S64" s="92" t="s">
        <v>189</v>
      </c>
      <c r="T64" s="92">
        <v>2</v>
      </c>
      <c r="U64" s="92" t="s">
        <v>190</v>
      </c>
      <c r="V64" s="92">
        <v>200</v>
      </c>
      <c r="W64" s="92" t="s">
        <v>191</v>
      </c>
      <c r="X64" s="92">
        <v>1111</v>
      </c>
      <c r="Y64" s="92" t="s">
        <v>192</v>
      </c>
      <c r="Z64" s="92" t="s">
        <v>193</v>
      </c>
      <c r="AA64" s="93">
        <v>45413</v>
      </c>
      <c r="AB64" s="92">
        <v>2</v>
      </c>
      <c r="AC64" s="92">
        <v>9999</v>
      </c>
      <c r="AD64" s="92" t="s">
        <v>194</v>
      </c>
      <c r="AE64" s="93">
        <v>45443</v>
      </c>
    </row>
    <row r="65" s="90" customFormat="1" x14ac:dyDescent="0.15"/>
    <row r="66" s="90" customFormat="1" x14ac:dyDescent="0.15"/>
    <row r="67" s="90" customFormat="1" x14ac:dyDescent="0.15"/>
    <row r="68" s="90" customFormat="1" x14ac:dyDescent="0.15"/>
    <row r="69" s="90" customFormat="1" x14ac:dyDescent="0.15"/>
    <row r="70" s="90" customFormat="1" x14ac:dyDescent="0.15"/>
    <row r="71" s="90" customFormat="1" x14ac:dyDescent="0.15"/>
    <row r="72" s="90" customFormat="1" x14ac:dyDescent="0.15"/>
    <row r="73" s="90" customFormat="1" x14ac:dyDescent="0.15"/>
    <row r="74" s="90" customFormat="1" x14ac:dyDescent="0.15"/>
    <row r="75" s="90" customFormat="1" x14ac:dyDescent="0.15"/>
    <row r="76" s="90" customFormat="1" x14ac:dyDescent="0.15"/>
    <row r="77" s="90" customFormat="1" x14ac:dyDescent="0.15"/>
    <row r="78" s="90" customFormat="1" x14ac:dyDescent="0.15"/>
  </sheetData>
  <phoneticPr fontId="26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3adb6f-a0c7-41a0-a612-fc40f281be47" xsi:nil="true"/>
    <lcf76f155ced4ddcb4097134ff3c332f xmlns="25c05856-9bdf-4c22-ab6e-2155d1bf875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A740709878BA5408EF596FFBAAFFA6C" ma:contentTypeVersion="11" ma:contentTypeDescription="新しいドキュメントを作成します。" ma:contentTypeScope="" ma:versionID="1a7321da3db519e5e678eef3db3451b8">
  <xsd:schema xmlns:xsd="http://www.w3.org/2001/XMLSchema" xmlns:xs="http://www.w3.org/2001/XMLSchema" xmlns:p="http://schemas.microsoft.com/office/2006/metadata/properties" xmlns:ns2="25c05856-9bdf-4c22-ab6e-2155d1bf8754" xmlns:ns3="833adb6f-a0c7-41a0-a612-fc40f281be47" targetNamespace="http://schemas.microsoft.com/office/2006/metadata/properties" ma:root="true" ma:fieldsID="af4beea3d4da84c2986867c09fad40de" ns2:_="" ns3:_="">
    <xsd:import namespace="25c05856-9bdf-4c22-ab6e-2155d1bf8754"/>
    <xsd:import namespace="833adb6f-a0c7-41a0-a612-fc40f281be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c05856-9bdf-4c22-ab6e-2155d1bf87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3adb6f-a0c7-41a0-a612-fc40f281be4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9d5b13-1d1a-48f0-a60a-57147129c68c}" ma:internalName="TaxCatchAll" ma:showField="CatchAllData" ma:web="833adb6f-a0c7-41a0-a612-fc40f281be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9CE05D-C948-48F7-9876-A1F230F55401}">
  <ds:schemaRefs>
    <ds:schemaRef ds:uri="http://schemas.microsoft.com/office/2006/metadata/properties"/>
    <ds:schemaRef ds:uri="http://schemas.microsoft.com/office/infopath/2007/PartnerControls"/>
    <ds:schemaRef ds:uri="833adb6f-a0c7-41a0-a612-fc40f281be47"/>
    <ds:schemaRef ds:uri="25c05856-9bdf-4c22-ab6e-2155d1bf8754"/>
  </ds:schemaRefs>
</ds:datastoreItem>
</file>

<file path=customXml/itemProps2.xml><?xml version="1.0" encoding="utf-8"?>
<ds:datastoreItem xmlns:ds="http://schemas.openxmlformats.org/officeDocument/2006/customXml" ds:itemID="{782A03E4-BB64-44B7-A33F-EB145AB092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c05856-9bdf-4c22-ab6e-2155d1bf8754"/>
    <ds:schemaRef ds:uri="833adb6f-a0c7-41a0-a612-fc40f281be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70D72F-606E-4A28-AC5E-78C79BE9743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0caf0c6-f7ab-4599-9bfc-105ffb086a7b}" enabled="1" method="Standard" siteId="{810d6a22-bd9b-4e2c-9654-83e34363a88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7</vt:i4>
      </vt:variant>
    </vt:vector>
  </HeadingPairs>
  <TitlesOfParts>
    <vt:vector size="12" baseType="lpstr">
      <vt:lpstr>表紙</vt:lpstr>
      <vt:lpstr>改訂履歴</vt:lpstr>
      <vt:lpstr>テスト一覧</vt:lpstr>
      <vt:lpstr>テスト仕様（No.2）</vt:lpstr>
      <vt:lpstr>テストデータ期待値（No.2）</vt:lpstr>
      <vt:lpstr>'テスト仕様（No.2）'!Print_Area</vt:lpstr>
      <vt:lpstr>表紙!Print_Area</vt:lpstr>
      <vt:lpstr>テスト一覧!Print_Titles</vt:lpstr>
      <vt:lpstr>'テスト仕様（No.2）'!Print_Titles</vt:lpstr>
      <vt:lpstr>改訂履歴!Print_Titles</vt:lpstr>
      <vt:lpstr>表紙!Print_Titles</vt:lpstr>
      <vt:lpstr>'テスト仕様（No.2）'!テストケース数シート別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SCSK</dc:creator>
  <cp:keywords/>
  <dc:description/>
  <cp:lastModifiedBy>劉 金涛</cp:lastModifiedBy>
  <cp:revision/>
  <dcterms:created xsi:type="dcterms:W3CDTF">2013-11-22T09:46:59Z</dcterms:created>
  <dcterms:modified xsi:type="dcterms:W3CDTF">2026-05-15T08:18:37Z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0x010100AA740709878BA5408EF596FFBAAFFA6C</vt:lpwstr>
  </property>
</Properties>
</file>