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34EFBD0-47A2-44E8-A67D-3836C3DB55F4}" xr6:coauthVersionLast="47" xr6:coauthVersionMax="47" xr10:uidLastSave="{00000000-0000-0000-0000-000000000000}"/>
  <bookViews>
    <workbookView xWindow="-120" yWindow="-120" windowWidth="29040" windowHeight="15720" tabRatio="791" xr2:uid="{84B2B293-C82F-43C5-AAF3-D9C43B004D6A}"/>
  </bookViews>
  <sheets>
    <sheet name="表紙" sheetId="9" r:id="rId1"/>
    <sheet name="改訂履歴" sheetId="10" r:id="rId2"/>
    <sheet name="テスト一覧" sheetId="34" r:id="rId3"/>
    <sheet name="テスト仕様（No.1）" sheetId="90" r:id="rId4"/>
    <sheet name="テスト仕様（No.2）" sheetId="92" r:id="rId5"/>
    <sheet name="テストデータ期待値（No.2)" sheetId="96" r:id="rId6"/>
    <sheet name="テスト仕様（No.3）" sheetId="93" r:id="rId7"/>
    <sheet name="テストデータ期待値（No.3)" sheetId="97" r:id="rId8"/>
    <sheet name="テスト仕様（No.4）" sheetId="94" r:id="rId9"/>
    <sheet name="テストデータ期待値（No.4) " sheetId="98" r:id="rId10"/>
    <sheet name="テスト仕様（No.5）" sheetId="95" r:id="rId11"/>
    <sheet name="テストデータ期待値（No.5)" sheetId="99" r:id="rId12"/>
  </sheets>
  <definedNames>
    <definedName name="_xlnm.Print_Area" localSheetId="3">'テスト仕様（No.1）'!$A$1:$AB$46</definedName>
    <definedName name="_xlnm.Print_Area" localSheetId="4">'テスト仕様（No.2）'!$A$1:$AB$49</definedName>
    <definedName name="_xlnm.Print_Area" localSheetId="6">'テスト仕様（No.3）'!$A$1:$AE$62</definedName>
    <definedName name="_xlnm.Print_Area" localSheetId="8">'テスト仕様（No.4）'!$A$1:$AF$62</definedName>
    <definedName name="_xlnm.Print_Area" localSheetId="10">'テスト仕様（No.5）'!$A$1:$AF$53</definedName>
    <definedName name="_xlnm.Print_Area" localSheetId="0">表紙!$A$1:$AW$28</definedName>
    <definedName name="_xlnm.Print_Titles" localSheetId="2">テスト一覧!$1:$1</definedName>
    <definedName name="_xlnm.Print_Titles" localSheetId="3">'テスト仕様（No.1）'!$1:$1</definedName>
    <definedName name="_xlnm.Print_Titles" localSheetId="4">'テスト仕様（No.2）'!$1:$1</definedName>
    <definedName name="_xlnm.Print_Titles" localSheetId="6">'テスト仕様（No.3）'!$1:$1</definedName>
    <definedName name="_xlnm.Print_Titles" localSheetId="8">'テスト仕様（No.4）'!$1:$1</definedName>
    <definedName name="_xlnm.Print_Titles" localSheetId="10">'テスト仕様（No.5）'!$1:$1</definedName>
    <definedName name="_xlnm.Print_Titles" localSheetId="1">改訂履歴!$1:$1</definedName>
    <definedName name="_xlnm.Print_Titles" localSheetId="0">表紙!$1:$13</definedName>
    <definedName name="テストケース数シート別" localSheetId="3">'テスト仕様（No.1）'!$C$1</definedName>
    <definedName name="テストケース数シート別" localSheetId="4">'テスト仕様（No.2）'!$C$1</definedName>
    <definedName name="テストケース数シート別" localSheetId="6">'テスト仕様（No.3）'!$C$1</definedName>
    <definedName name="テストケース数シート別" localSheetId="8">'テスト仕様（No.4）'!$C$1</definedName>
    <definedName name="テストケース数シート別" localSheetId="10">'テスト仕様（No.5）'!$C$1</definedName>
    <definedName name="テストケース数シート別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94" l="1"/>
  <c r="C5" i="94" s="1"/>
  <c r="C6" i="94"/>
  <c r="C7" i="94" s="1"/>
  <c r="C8" i="94" s="1"/>
  <c r="C9" i="94" s="1"/>
  <c r="C10" i="94" s="1"/>
  <c r="C11" i="94" s="1"/>
  <c r="C12" i="94" s="1"/>
  <c r="C13" i="94" s="1"/>
  <c r="C14" i="94" s="1"/>
  <c r="C15" i="94" s="1"/>
  <c r="C16" i="94" s="1"/>
  <c r="C17" i="94" s="1"/>
  <c r="C18" i="94" s="1"/>
  <c r="C19" i="94" s="1"/>
  <c r="C20" i="94" s="1"/>
  <c r="C21" i="94" s="1"/>
  <c r="C22" i="94" s="1"/>
  <c r="C23" i="94" s="1"/>
  <c r="I6" i="34" a="1"/>
  <c r="I6" i="34" s="1"/>
  <c r="J6" i="34" s="1"/>
  <c r="I5" i="34" a="1"/>
  <c r="I5" i="34" s="1"/>
  <c r="J5" i="34" s="1"/>
  <c r="I4" i="34" a="1"/>
  <c r="I4" i="34" s="1"/>
  <c r="J4" i="34" s="1"/>
  <c r="C13" i="95"/>
  <c r="C18" i="95"/>
  <c r="C19" i="95" s="1"/>
  <c r="C20" i="95" s="1"/>
  <c r="C4" i="95"/>
  <c r="C5" i="95" s="1"/>
  <c r="E1" i="95"/>
  <c r="C5" i="92"/>
  <c r="C6" i="92" s="1"/>
  <c r="C7" i="92" s="1"/>
  <c r="C8" i="92" s="1"/>
  <c r="C9" i="92" s="1"/>
  <c r="C10" i="92" s="1"/>
  <c r="C11" i="92" s="1"/>
  <c r="C12" i="92" s="1"/>
  <c r="C4" i="92"/>
  <c r="C27" i="94"/>
  <c r="C28" i="94" s="1"/>
  <c r="C29" i="94" s="1"/>
  <c r="C30" i="94" s="1"/>
  <c r="C31" i="94" s="1"/>
  <c r="C32" i="94" s="1"/>
  <c r="C33" i="94" s="1"/>
  <c r="C34" i="94" s="1"/>
  <c r="C35" i="94" s="1"/>
  <c r="C36" i="94" s="1"/>
  <c r="C37" i="94" s="1"/>
  <c r="C38" i="94" s="1"/>
  <c r="C39" i="94" s="1"/>
  <c r="C40" i="94" s="1"/>
  <c r="C41" i="94" s="1"/>
  <c r="E1" i="94"/>
  <c r="C18" i="92"/>
  <c r="C19" i="92" s="1"/>
  <c r="C20" i="92" s="1"/>
  <c r="C21" i="92" s="1"/>
  <c r="C22" i="92" s="1"/>
  <c r="C23" i="92" s="1"/>
  <c r="C24" i="92" s="1"/>
  <c r="C25" i="92" s="1"/>
  <c r="C26" i="92" s="1"/>
  <c r="C27" i="92" s="1"/>
  <c r="C28" i="92" s="1"/>
  <c r="C4" i="93"/>
  <c r="C5" i="93" s="1"/>
  <c r="C6" i="93" s="1"/>
  <c r="C7" i="93" s="1"/>
  <c r="C8" i="93" s="1"/>
  <c r="C9" i="93" s="1"/>
  <c r="C10" i="93" s="1"/>
  <c r="C11" i="93" s="1"/>
  <c r="C12" i="93" s="1"/>
  <c r="C13" i="93" s="1"/>
  <c r="C14" i="93" s="1"/>
  <c r="C15" i="93" s="1"/>
  <c r="C16" i="93" s="1"/>
  <c r="C17" i="93" s="1"/>
  <c r="C18" i="93" s="1"/>
  <c r="C19" i="93" s="1"/>
  <c r="C20" i="93" s="1"/>
  <c r="C26" i="93"/>
  <c r="C27" i="93" s="1"/>
  <c r="C28" i="93" s="1"/>
  <c r="C29" i="93" s="1"/>
  <c r="C30" i="93" s="1"/>
  <c r="C31" i="93" s="1"/>
  <c r="C32" i="93" s="1"/>
  <c r="C33" i="93" s="1"/>
  <c r="C34" i="93" s="1"/>
  <c r="C35" i="93" s="1"/>
  <c r="C36" i="93" s="1"/>
  <c r="C37" i="93" s="1"/>
  <c r="C38" i="93" s="1"/>
  <c r="C39" i="93" s="1"/>
  <c r="E1" i="93"/>
  <c r="C17" i="92"/>
  <c r="E1" i="92"/>
  <c r="C23" i="90"/>
  <c r="C16" i="90"/>
  <c r="C21" i="93" l="1"/>
  <c r="C22" i="93" s="1"/>
  <c r="C21" i="95"/>
  <c r="C22" i="95" s="1"/>
  <c r="C23" i="95" s="1"/>
  <c r="C24" i="95" s="1"/>
  <c r="C25" i="95" s="1"/>
  <c r="C26" i="95" s="1"/>
  <c r="C27" i="95" s="1"/>
  <c r="C28" i="95" s="1"/>
  <c r="C29" i="95" s="1"/>
  <c r="C30" i="95" s="1"/>
  <c r="C31" i="95" s="1"/>
  <c r="C32" i="95" s="1"/>
  <c r="C6" i="95"/>
  <c r="C7" i="95" s="1"/>
  <c r="C8" i="95" s="1"/>
  <c r="C9" i="95" s="1"/>
  <c r="C10" i="95" s="1"/>
  <c r="C11" i="95" s="1"/>
  <c r="C12" i="95" s="1"/>
  <c r="C14" i="95" s="1"/>
  <c r="C40" i="93"/>
  <c r="C41" i="93" s="1"/>
  <c r="C13" i="92"/>
  <c r="C4" i="90"/>
  <c r="C5" i="90" s="1"/>
  <c r="C6" i="90" s="1"/>
  <c r="C7" i="90" s="1"/>
  <c r="C8" i="90" s="1"/>
  <c r="C9" i="90" s="1"/>
  <c r="C10" i="90" s="1"/>
  <c r="C11" i="90" s="1"/>
  <c r="C12" i="90" s="1"/>
  <c r="C17" i="90"/>
  <c r="E1" i="90"/>
  <c r="I3" i="34" a="1"/>
  <c r="C18" i="90" l="1"/>
  <c r="C19" i="90" s="1"/>
  <c r="C20" i="90" s="1"/>
  <c r="C21" i="90" s="1"/>
  <c r="C22" i="90" s="1"/>
  <c r="C24" i="90" s="1"/>
  <c r="C25" i="90" s="1"/>
  <c r="I3" i="34"/>
  <c r="J3" i="34" s="1"/>
  <c r="I2" i="34" a="1"/>
  <c r="I2" i="34" l="1"/>
  <c r="J2" i="34" l="1"/>
  <c r="A2" i="1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SCSK</author>
  </authors>
  <commentList>
    <comment ref="E1" authorId="0" shapeId="0" xr:uid="{00000000-0006-0000-01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変更の起因となった不具合管理番号、変更管理番号などを記載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<sst xmlns="http://schemas.openxmlformats.org/spreadsheetml/2006/main" count="1891" uniqueCount="264">
  <si>
    <t>管理No.：</t>
    <rPh sb="0" eb="2">
      <t>カンリ</t>
    </rPh>
    <phoneticPr fontId="5"/>
  </si>
  <si>
    <t>顧客ID</t>
    <rPh sb="0" eb="2">
      <t>コキャク</t>
    </rPh>
    <phoneticPr fontId="28"/>
  </si>
  <si>
    <t>顧客名</t>
    <rPh sb="0" eb="2">
      <t>コキャク</t>
    </rPh>
    <rPh sb="2" eb="3">
      <t>メイ</t>
    </rPh>
    <phoneticPr fontId="28"/>
  </si>
  <si>
    <t>システムID</t>
    <phoneticPr fontId="28"/>
  </si>
  <si>
    <t>システム名</t>
    <rPh sb="4" eb="5">
      <t>メイ</t>
    </rPh>
    <phoneticPr fontId="28"/>
  </si>
  <si>
    <t>サブシステムID</t>
    <phoneticPr fontId="5"/>
  </si>
  <si>
    <t>サブシステム名</t>
    <rPh sb="6" eb="7">
      <t>メイ</t>
    </rPh>
    <phoneticPr fontId="5"/>
  </si>
  <si>
    <t>機能ID</t>
    <rPh sb="0" eb="2">
      <t>キノウ</t>
    </rPh>
    <phoneticPr fontId="5"/>
  </si>
  <si>
    <t>機能名</t>
    <rPh sb="0" eb="2">
      <t>キノウ</t>
    </rPh>
    <rPh sb="2" eb="3">
      <t>メイ</t>
    </rPh>
    <phoneticPr fontId="5"/>
  </si>
  <si>
    <t>プログラムID</t>
    <phoneticPr fontId="5"/>
  </si>
  <si>
    <t>プログラム名</t>
    <rPh sb="5" eb="6">
      <t>メイ</t>
    </rPh>
    <phoneticPr fontId="5"/>
  </si>
  <si>
    <t>作成日付</t>
    <rPh sb="0" eb="2">
      <t>サクセイ</t>
    </rPh>
    <rPh sb="2" eb="4">
      <t>ヒヅケ</t>
    </rPh>
    <phoneticPr fontId="28"/>
  </si>
  <si>
    <t>作成者</t>
    <rPh sb="0" eb="3">
      <t>サクセイシャ</t>
    </rPh>
    <phoneticPr fontId="5"/>
  </si>
  <si>
    <t>最終変更日付</t>
    <rPh sb="0" eb="2">
      <t>サイシュウ</t>
    </rPh>
    <rPh sb="2" eb="4">
      <t>ヘンコウ</t>
    </rPh>
    <rPh sb="4" eb="6">
      <t>ヒヅケ</t>
    </rPh>
    <phoneticPr fontId="28"/>
  </si>
  <si>
    <t>変更者</t>
    <rPh sb="0" eb="2">
      <t>ヘンコウ</t>
    </rPh>
    <rPh sb="2" eb="3">
      <t>シャ</t>
    </rPh>
    <phoneticPr fontId="5"/>
  </si>
  <si>
    <t>確認欄</t>
    <rPh sb="0" eb="2">
      <t>カクニン</t>
    </rPh>
    <rPh sb="2" eb="3">
      <t>ラン</t>
    </rPh>
    <phoneticPr fontId="28"/>
  </si>
  <si>
    <t>印</t>
    <rPh sb="0" eb="1">
      <t>イン</t>
    </rPh>
    <phoneticPr fontId="28"/>
  </si>
  <si>
    <t>No.</t>
    <phoneticPr fontId="5"/>
  </si>
  <si>
    <t>版</t>
    <rPh sb="0" eb="1">
      <t>ハン</t>
    </rPh>
    <phoneticPr fontId="5"/>
  </si>
  <si>
    <t>変更箇所</t>
    <rPh sb="0" eb="2">
      <t>ヘンコウ</t>
    </rPh>
    <rPh sb="2" eb="4">
      <t>カショ</t>
    </rPh>
    <phoneticPr fontId="5"/>
  </si>
  <si>
    <t>変更内容</t>
    <rPh sb="0" eb="2">
      <t>ヘンコウ</t>
    </rPh>
    <rPh sb="2" eb="4">
      <t>ナイヨウ</t>
    </rPh>
    <phoneticPr fontId="5"/>
  </si>
  <si>
    <t>管理番号</t>
    <rPh sb="0" eb="2">
      <t>カンリ</t>
    </rPh>
    <rPh sb="2" eb="4">
      <t>バンゴウ</t>
    </rPh>
    <phoneticPr fontId="5"/>
  </si>
  <si>
    <t>変更者
・日付</t>
    <rPh sb="0" eb="2">
      <t>ヘンコウ</t>
    </rPh>
    <rPh sb="2" eb="3">
      <t>シャ</t>
    </rPh>
    <rPh sb="5" eb="7">
      <t>ヒヅケ</t>
    </rPh>
    <phoneticPr fontId="5"/>
  </si>
  <si>
    <t>確認者
・日付</t>
    <rPh sb="0" eb="2">
      <t>カクニン</t>
    </rPh>
    <rPh sb="2" eb="3">
      <t>シャ</t>
    </rPh>
    <rPh sb="5" eb="7">
      <t>ヒヅケ</t>
    </rPh>
    <phoneticPr fontId="5"/>
  </si>
  <si>
    <t>承認者
・日付</t>
    <rPh sb="0" eb="2">
      <t>ショウニン</t>
    </rPh>
    <rPh sb="2" eb="3">
      <t>シャ</t>
    </rPh>
    <rPh sb="5" eb="7">
      <t>ヒヅケ</t>
    </rPh>
    <phoneticPr fontId="5"/>
  </si>
  <si>
    <t>テスト観点</t>
    <rPh sb="3" eb="5">
      <t>カンテン</t>
    </rPh>
    <phoneticPr fontId="5"/>
  </si>
  <si>
    <t>想定結果</t>
    <rPh sb="0" eb="2">
      <t>ソウテイ</t>
    </rPh>
    <rPh sb="2" eb="4">
      <t>ケッカ</t>
    </rPh>
    <phoneticPr fontId="5"/>
  </si>
  <si>
    <t>エビデンス</t>
    <phoneticPr fontId="5"/>
  </si>
  <si>
    <t>確認結果</t>
    <rPh sb="0" eb="2">
      <t>カクニン</t>
    </rPh>
    <rPh sb="2" eb="4">
      <t>ケッカ</t>
    </rPh>
    <phoneticPr fontId="5"/>
  </si>
  <si>
    <t>前提条件</t>
    <rPh sb="0" eb="2">
      <t>ゼンテイ</t>
    </rPh>
    <rPh sb="2" eb="4">
      <t>ジョウケン</t>
    </rPh>
    <phoneticPr fontId="5"/>
  </si>
  <si>
    <t>JUnitテストによる確認</t>
  </si>
  <si>
    <t>・メソッドが内部設計通りに動作すること</t>
  </si>
  <si>
    <t>テストケースＮｏ．</t>
  </si>
  <si>
    <t>件数：</t>
  </si>
  <si>
    <t>№</t>
  </si>
  <si>
    <t>テストケース条件内容</t>
  </si>
  <si>
    <t>確認項目内容</t>
  </si>
  <si>
    <t>エビデンス内容</t>
  </si>
  <si>
    <t>エビデンス</t>
  </si>
  <si>
    <t>I</t>
  </si>
  <si>
    <t>O</t>
  </si>
  <si>
    <t>確認結果</t>
  </si>
  <si>
    <t>チェック欄</t>
  </si>
  <si>
    <t>戻り値の確認</t>
    <rPh sb="0" eb="1">
      <t>モド</t>
    </rPh>
    <rPh sb="2" eb="3">
      <t>アタイ</t>
    </rPh>
    <rPh sb="4" eb="6">
      <t>カクニン</t>
    </rPh>
    <phoneticPr fontId="5"/>
  </si>
  <si>
    <t>・処理フローと分岐網羅
・ループ処理
・境界値・異常値
・パラメータとNULLの考慮
・エラーハンドリングとトランザクション
・ゼロ除算
・NOT NULL項目に対するNULL投入テスト
・NULLパターンテスト</t>
    <phoneticPr fontId="5"/>
  </si>
  <si>
    <t>確認項目　※詳細は「単体テスト観点」を参照</t>
    <rPh sb="0" eb="2">
      <t>カクニン</t>
    </rPh>
    <rPh sb="2" eb="4">
      <t>コウモク</t>
    </rPh>
    <rPh sb="6" eb="8">
      <t>ショウサイ</t>
    </rPh>
    <rPh sb="10" eb="12">
      <t>タンタイ</t>
    </rPh>
    <rPh sb="15" eb="17">
      <t>カンテン</t>
    </rPh>
    <rPh sb="19" eb="21">
      <t>サンショウ</t>
    </rPh>
    <phoneticPr fontId="5"/>
  </si>
  <si>
    <t>テストパターン数</t>
    <rPh sb="7" eb="8">
      <t>スウ</t>
    </rPh>
    <phoneticPr fontId="5"/>
  </si>
  <si>
    <t>テストパターン数合計</t>
    <rPh sb="7" eb="8">
      <t>スウ</t>
    </rPh>
    <rPh sb="8" eb="10">
      <t>ゴウケイ</t>
    </rPh>
    <phoneticPr fontId="5"/>
  </si>
  <si>
    <r>
      <t xml:space="preserve">単体テスト仕様書兼結果報告書
</t>
    </r>
    <r>
      <rPr>
        <b/>
        <sz val="22"/>
        <rFont val="ＭＳ Ｐゴシック"/>
        <family val="3"/>
        <charset val="128"/>
      </rPr>
      <t>（第1.0版）</t>
    </r>
    <rPh sb="16" eb="17">
      <t>ダイ</t>
    </rPh>
    <rPh sb="20" eb="21">
      <t>ハン</t>
    </rPh>
    <phoneticPr fontId="5"/>
  </si>
  <si>
    <t>－</t>
  </si>
  <si>
    <t>ホクレン</t>
    <phoneticPr fontId="5"/>
  </si>
  <si>
    <t>統合会計システム</t>
    <rPh sb="0" eb="2">
      <t>トウゴウ</t>
    </rPh>
    <rPh sb="2" eb="4">
      <t>カイケイ</t>
    </rPh>
    <phoneticPr fontId="5"/>
  </si>
  <si>
    <t>－</t>
    <phoneticPr fontId="5"/>
  </si>
  <si>
    <t>XXXXXXXXXX</t>
    <phoneticPr fontId="5"/>
  </si>
  <si>
    <t>YYYY/MM/DD</t>
    <phoneticPr fontId="5"/>
  </si>
  <si>
    <t>条件に該当するデータはありません。</t>
    <phoneticPr fontId="5"/>
  </si>
  <si>
    <t>○</t>
    <phoneticPr fontId="5"/>
  </si>
  <si>
    <t>〇</t>
    <phoneticPr fontId="5"/>
  </si>
  <si>
    <t>Y</t>
    <phoneticPr fontId="5"/>
  </si>
  <si>
    <t>人件費情報入力画面　初期処理メイン処理</t>
    <rPh sb="0" eb="3">
      <t>ジンケンヒ</t>
    </rPh>
    <rPh sb="3" eb="5">
      <t>ジョウホウ</t>
    </rPh>
    <rPh sb="5" eb="7">
      <t>ニュウリョク</t>
    </rPh>
    <rPh sb="7" eb="9">
      <t>ガメン</t>
    </rPh>
    <rPh sb="10" eb="12">
      <t>ショキ</t>
    </rPh>
    <rPh sb="12" eb="14">
      <t>ショリ</t>
    </rPh>
    <rPh sb="17" eb="19">
      <t>ショリ</t>
    </rPh>
    <phoneticPr fontId="5"/>
  </si>
  <si>
    <t xml:space="preserve"> 運用管理日</t>
    <rPh sb="1" eb="6">
      <t>ウンヨウカンリビ</t>
    </rPh>
    <phoneticPr fontId="5"/>
  </si>
  <si>
    <t>運用管理日</t>
    <rPh sb="0" eb="4">
      <t>ウンヨウカンリ</t>
    </rPh>
    <rPh sb="4" eb="5">
      <t>ビ</t>
    </rPh>
    <phoneticPr fontId="5"/>
  </si>
  <si>
    <t>NULL</t>
    <phoneticPr fontId="5"/>
  </si>
  <si>
    <t>NULL以外</t>
    <rPh sb="4" eb="6">
      <t>イガイ</t>
    </rPh>
    <phoneticPr fontId="5"/>
  </si>
  <si>
    <t>システム日付が設定されていること</t>
    <rPh sb="4" eb="6">
      <t>ヒヅケ</t>
    </rPh>
    <rPh sb="7" eb="9">
      <t>セッテイ</t>
    </rPh>
    <phoneticPr fontId="5"/>
  </si>
  <si>
    <t>運用管理日が設定されていること</t>
    <rPh sb="0" eb="5">
      <t>ウンヨウカンリビ</t>
    </rPh>
    <rPh sb="6" eb="8">
      <t>セッテイ</t>
    </rPh>
    <phoneticPr fontId="5"/>
  </si>
  <si>
    <t>例外の確認</t>
    <phoneticPr fontId="5"/>
  </si>
  <si>
    <t>exceptionがthrowされていること</t>
  </si>
  <si>
    <t>人件費情報入力画面　照会ボタンメイン処理</t>
    <rPh sb="0" eb="3">
      <t>ジンケンヒ</t>
    </rPh>
    <rPh sb="3" eb="5">
      <t>ジョウホウ</t>
    </rPh>
    <rPh sb="5" eb="7">
      <t>ニュウリョク</t>
    </rPh>
    <rPh sb="7" eb="9">
      <t>ガメン</t>
    </rPh>
    <rPh sb="10" eb="12">
      <t>ショウカイ</t>
    </rPh>
    <rPh sb="18" eb="20">
      <t>ショリ</t>
    </rPh>
    <phoneticPr fontId="5"/>
  </si>
  <si>
    <t>正常終了すること</t>
    <phoneticPr fontId="5"/>
  </si>
  <si>
    <t>人件費情報入力画面　検索条件関連チェック</t>
    <phoneticPr fontId="5"/>
  </si>
  <si>
    <t>対象年月</t>
    <rPh sb="0" eb="2">
      <t>タイショウ</t>
    </rPh>
    <rPh sb="2" eb="4">
      <t>ネンゲツ</t>
    </rPh>
    <phoneticPr fontId="5"/>
  </si>
  <si>
    <t>対象年月From &gt; 対象年月To</t>
    <phoneticPr fontId="5"/>
  </si>
  <si>
    <t>BusinessValidationExceptionがスローされること</t>
    <phoneticPr fontId="5"/>
  </si>
  <si>
    <t>人件費情報入力一覧明細Dtoリストが返却されること</t>
    <phoneticPr fontId="5"/>
  </si>
  <si>
    <t>以外</t>
    <rPh sb="0" eb="2">
      <t>イガイ</t>
    </rPh>
    <phoneticPr fontId="5"/>
  </si>
  <si>
    <t>人件費情報入力一覧検索結果情報取得</t>
    <phoneticPr fontId="5"/>
  </si>
  <si>
    <t xml:space="preserve"> null/0件</t>
    <phoneticPr fontId="5"/>
  </si>
  <si>
    <t>一覧明細Dtoリスト</t>
    <phoneticPr fontId="5"/>
  </si>
  <si>
    <t>件数 &gt; 上限件数</t>
    <phoneticPr fontId="5"/>
  </si>
  <si>
    <t>件数 &lt;= 上限件数</t>
    <phoneticPr fontId="5"/>
  </si>
  <si>
    <t>人件費情報入力画面　次画面ボタンメイン処理</t>
    <rPh sb="0" eb="3">
      <t>ジンケンヒ</t>
    </rPh>
    <rPh sb="3" eb="5">
      <t>ジョウホウ</t>
    </rPh>
    <rPh sb="5" eb="7">
      <t>ニュウリョク</t>
    </rPh>
    <rPh sb="7" eb="9">
      <t>ガメン</t>
    </rPh>
    <rPh sb="10" eb="13">
      <t>ジガメン</t>
    </rPh>
    <rPh sb="19" eb="21">
      <t>ショリ</t>
    </rPh>
    <phoneticPr fontId="5"/>
  </si>
  <si>
    <t>人件費情報入力画面　検索結果関連チェック</t>
    <phoneticPr fontId="5"/>
  </si>
  <si>
    <t>件数 &gt; 1件</t>
    <rPh sb="0" eb="2">
      <t>ケンスウ</t>
    </rPh>
    <rPh sb="6" eb="7">
      <t>ケン</t>
    </rPh>
    <phoneticPr fontId="5"/>
  </si>
  <si>
    <t>1件</t>
    <rPh sb="1" eb="2">
      <t>ケン</t>
    </rPh>
    <phoneticPr fontId="5"/>
  </si>
  <si>
    <t>人件費情報入力一覧明細Dtoリストの1件目.承認状況区分</t>
    <rPh sb="0" eb="3">
      <t>ジンケンヒ</t>
    </rPh>
    <rPh sb="3" eb="5">
      <t>ジョウホウ</t>
    </rPh>
    <rPh sb="5" eb="7">
      <t>ニュウリョク</t>
    </rPh>
    <rPh sb="7" eb="9">
      <t>イチラン</t>
    </rPh>
    <rPh sb="9" eb="11">
      <t>メイサイ</t>
    </rPh>
    <rPh sb="19" eb="20">
      <t>ケン</t>
    </rPh>
    <rPh sb="20" eb="21">
      <t>メ</t>
    </rPh>
    <rPh sb="22" eb="24">
      <t>ショウニン</t>
    </rPh>
    <rPh sb="24" eb="26">
      <t>ジョウキョウ</t>
    </rPh>
    <rPh sb="26" eb="28">
      <t>クブン</t>
    </rPh>
    <phoneticPr fontId="5"/>
  </si>
  <si>
    <t>承認依頼中</t>
    <rPh sb="0" eb="5">
      <t>ショウニンイライチュウ</t>
    </rPh>
    <phoneticPr fontId="5"/>
  </si>
  <si>
    <t>承認済</t>
    <rPh sb="0" eb="3">
      <t>ショウニンズミ</t>
    </rPh>
    <phoneticPr fontId="5"/>
  </si>
  <si>
    <t>エラーメッセージの確認</t>
    <phoneticPr fontId="5"/>
  </si>
  <si>
    <t>対象年月(To)は、対象年月(From)以降の年月を入力してください。</t>
    <phoneticPr fontId="5"/>
  </si>
  <si>
    <t>検索結果が%1件を超えました。抽出条件を絞って再度検索してください。</t>
    <phoneticPr fontId="5"/>
  </si>
  <si>
    <t>人件費情報基本入力Dtoリスト</t>
    <rPh sb="0" eb="3">
      <t>ジンケンヒ</t>
    </rPh>
    <rPh sb="3" eb="5">
      <t>ジョウホウ</t>
    </rPh>
    <rPh sb="5" eb="7">
      <t>キホン</t>
    </rPh>
    <rPh sb="7" eb="9">
      <t>ニュウリョク</t>
    </rPh>
    <phoneticPr fontId="5"/>
  </si>
  <si>
    <t>人件費情報入力一覧明細Dtoリスト</t>
    <rPh sb="0" eb="3">
      <t>ジンケンヒ</t>
    </rPh>
    <rPh sb="3" eb="5">
      <t>ジョウホウ</t>
    </rPh>
    <rPh sb="5" eb="7">
      <t>ニュウリョク</t>
    </rPh>
    <rPh sb="7" eb="9">
      <t>イチラン</t>
    </rPh>
    <rPh sb="9" eb="11">
      <t>メイサイ</t>
    </rPh>
    <phoneticPr fontId="5"/>
  </si>
  <si>
    <t>AZA_DirtyUpdateExceptionがスローされること</t>
    <phoneticPr fontId="5"/>
  </si>
  <si>
    <t>人件費情報入力画面　検索結果関連チェック　開始</t>
    <rPh sb="21" eb="23">
      <t>カイシ</t>
    </rPh>
    <phoneticPr fontId="5"/>
  </si>
  <si>
    <t>人件費情報入力画面　検索結果関連チェック　終了</t>
    <rPh sb="21" eb="23">
      <t>シュウリョウ</t>
    </rPh>
    <phoneticPr fontId="5"/>
  </si>
  <si>
    <t>対象の情報が選択されていません。</t>
    <phoneticPr fontId="5"/>
  </si>
  <si>
    <t>対象の情報が複数選択されています。</t>
    <phoneticPr fontId="5"/>
  </si>
  <si>
    <t>承認状況が未修正、差戻、下書保存でない場合、次画面へ遷移できません。</t>
    <phoneticPr fontId="5"/>
  </si>
  <si>
    <t>人件費情報入力一覧明細Dto.入力区分コード</t>
    <phoneticPr fontId="5"/>
  </si>
  <si>
    <t>人件費情報基本入力Dtoが返却されること</t>
    <phoneticPr fontId="5"/>
  </si>
  <si>
    <t>人件費情報基本入力検索条件Dtoが返却されること</t>
    <phoneticPr fontId="5"/>
  </si>
  <si>
    <t>基本入力_入力区分オブジェクトリスト</t>
    <phoneticPr fontId="5"/>
  </si>
  <si>
    <t>入力区分.給与支給・給与控除</t>
    <phoneticPr fontId="5"/>
  </si>
  <si>
    <t>給与支給を追加</t>
    <rPh sb="5" eb="7">
      <t>ツイカ</t>
    </rPh>
    <phoneticPr fontId="5"/>
  </si>
  <si>
    <t>給与控除を追加</t>
    <rPh sb="5" eb="7">
      <t>ツイカ</t>
    </rPh>
    <phoneticPr fontId="5"/>
  </si>
  <si>
    <t>そのままを追加</t>
    <rPh sb="5" eb="7">
      <t>ツイカ</t>
    </rPh>
    <phoneticPr fontId="5"/>
  </si>
  <si>
    <t>人件費情報入力画面　個別照会ボタンメイン処理</t>
    <rPh sb="0" eb="3">
      <t>ジンケンヒ</t>
    </rPh>
    <rPh sb="3" eb="5">
      <t>ジョウホウ</t>
    </rPh>
    <rPh sb="5" eb="7">
      <t>ニュウリョク</t>
    </rPh>
    <rPh sb="7" eb="9">
      <t>ガメン</t>
    </rPh>
    <rPh sb="10" eb="12">
      <t>コベツ</t>
    </rPh>
    <rPh sb="12" eb="14">
      <t>ショウカイ</t>
    </rPh>
    <rPh sb="20" eb="22">
      <t>ショリ</t>
    </rPh>
    <phoneticPr fontId="5"/>
  </si>
  <si>
    <t>人件費情報基本入力一覧明細Dtoが返却されること</t>
    <phoneticPr fontId="5"/>
  </si>
  <si>
    <t>申請承認情報Dto</t>
    <phoneticPr fontId="5"/>
  </si>
  <si>
    <t>申請承認情報Dtoが返却されること</t>
    <phoneticPr fontId="5"/>
  </si>
  <si>
    <t>人件費情報入力画面　承認依頼取下ボタンメイン処理</t>
    <rPh sb="0" eb="3">
      <t>ジンケンヒ</t>
    </rPh>
    <rPh sb="3" eb="5">
      <t>ジョウホウ</t>
    </rPh>
    <rPh sb="5" eb="7">
      <t>ニュウリョク</t>
    </rPh>
    <rPh sb="7" eb="9">
      <t>ガメン</t>
    </rPh>
    <rPh sb="10" eb="12">
      <t>ショウニン</t>
    </rPh>
    <rPh sb="12" eb="14">
      <t>イライ</t>
    </rPh>
    <rPh sb="14" eb="15">
      <t>トリ</t>
    </rPh>
    <rPh sb="15" eb="16">
      <t>シタ</t>
    </rPh>
    <rPh sb="22" eb="24">
      <t>ショリ</t>
    </rPh>
    <phoneticPr fontId="5"/>
  </si>
  <si>
    <t>承認依頼中</t>
    <phoneticPr fontId="5"/>
  </si>
  <si>
    <t>確認画面情報取得処理</t>
    <rPh sb="0" eb="2">
      <t>カクニン</t>
    </rPh>
    <rPh sb="2" eb="4">
      <t>ガメン</t>
    </rPh>
    <rPh sb="4" eb="6">
      <t>ジョウホウ</t>
    </rPh>
    <rPh sb="6" eb="8">
      <t>シュトク</t>
    </rPh>
    <rPh sb="8" eb="10">
      <t>ショリ</t>
    </rPh>
    <phoneticPr fontId="5"/>
  </si>
  <si>
    <t>人件費情報基本入力Dtoリスト</t>
    <phoneticPr fontId="5"/>
  </si>
  <si>
    <t>申請・承認ルート表示取得情報Dto</t>
    <phoneticPr fontId="5"/>
  </si>
  <si>
    <t>承認状況が承認依頼中でない場合、承認依頼取下できません。</t>
    <phoneticPr fontId="5"/>
  </si>
  <si>
    <t>2026/5/14</t>
    <phoneticPr fontId="5"/>
  </si>
  <si>
    <t>閻峰</t>
    <rPh sb="0" eb="1">
      <t>エン</t>
    </rPh>
    <rPh sb="1" eb="2">
      <t>ホウ</t>
    </rPh>
    <phoneticPr fontId="5"/>
  </si>
  <si>
    <t>人件費情報入力</t>
    <rPh sb="0" eb="3">
      <t>ジンケンヒ</t>
    </rPh>
    <rPh sb="3" eb="5">
      <t>ジョウホウ</t>
    </rPh>
    <rPh sb="5" eb="7">
      <t>ニュウリョク</t>
    </rPh>
    <phoneticPr fontId="5"/>
  </si>
  <si>
    <t>8.5.1</t>
    <phoneticPr fontId="5"/>
  </si>
  <si>
    <t>ロジックのメソッドの妥当性
人件費情報入力画面
初期処理メイン処理＋検索条件初期値生成</t>
    <phoneticPr fontId="5"/>
  </si>
  <si>
    <t>ロジックのメソッドの妥当性
人件費情報入力画面
照会ボタンメイン処理</t>
    <phoneticPr fontId="5"/>
  </si>
  <si>
    <t>ロジックのメソッドの妥当性
人件費情報入力画面
次画面ボタンメイン処理</t>
    <phoneticPr fontId="5"/>
  </si>
  <si>
    <t>ロジックのメソッドの妥当性
人件費情報入力画面
個別照会ボタンメイン処理</t>
    <phoneticPr fontId="5"/>
  </si>
  <si>
    <t>ロジックのメソッドの妥当性
人件費情報入力画面
承認依頼取下ボタンメイン処理</t>
    <phoneticPr fontId="5"/>
  </si>
  <si>
    <t>入力</t>
  </si>
  <si>
    <t>DAC2015_LaborCostInfoEntrySearchDto</t>
    <phoneticPr fontId="5"/>
  </si>
  <si>
    <t>人件費情報入力検索条件Dto</t>
    <phoneticPr fontId="5"/>
  </si>
  <si>
    <t>対象年月（From）</t>
  </si>
  <si>
    <t>対象年月（To）</t>
  </si>
  <si>
    <t>承認状況（未修正）</t>
  </si>
  <si>
    <t>承認状況（差戻）</t>
  </si>
  <si>
    <t>承認状況（下書保存）</t>
  </si>
  <si>
    <t>承認状況（依頼中）</t>
  </si>
  <si>
    <t>承認状況（承認済）</t>
  </si>
  <si>
    <t>taishoNengetsuFrom</t>
  </si>
  <si>
    <t>taishoNengetsuTo</t>
  </si>
  <si>
    <t>shoninJokyoMishusei</t>
  </si>
  <si>
    <t>shoninJokyoSashimodoshi</t>
  </si>
  <si>
    <t>shoninJokyoShitagakiHozon</t>
  </si>
  <si>
    <t>shoninJokyoShoninIraichu</t>
  </si>
  <si>
    <t>shoninJokyoShoninzumi</t>
  </si>
  <si>
    <t>Integer</t>
  </si>
  <si>
    <t>boolean</t>
  </si>
  <si>
    <t>フィールド論理名</t>
    <rPh sb="5" eb="7">
      <t>ロンリ</t>
    </rPh>
    <rPh sb="7" eb="8">
      <t>メイ</t>
    </rPh>
    <phoneticPr fontId="1"/>
  </si>
  <si>
    <t>フィールド物理名</t>
    <rPh sb="5" eb="7">
      <t>ブツリ</t>
    </rPh>
    <rPh sb="7" eb="8">
      <t>メイ</t>
    </rPh>
    <phoneticPr fontId="1"/>
  </si>
  <si>
    <t>データ型</t>
  </si>
  <si>
    <t>値</t>
    <rPh sb="0" eb="1">
      <t>アタイ</t>
    </rPh>
    <phoneticPr fontId="1"/>
  </si>
  <si>
    <t>一覧画面表示上限件数</t>
  </si>
  <si>
    <t>ICHIRAN_HYOJI_MAX_CNT</t>
    <phoneticPr fontId="5"/>
  </si>
  <si>
    <t>int</t>
  </si>
  <si>
    <t>No.1</t>
    <phoneticPr fontId="5"/>
  </si>
  <si>
    <t>No.2</t>
    <phoneticPr fontId="5"/>
  </si>
  <si>
    <t>202602</t>
    <phoneticPr fontId="5"/>
  </si>
  <si>
    <t>202601</t>
    <phoneticPr fontId="5"/>
  </si>
  <si>
    <t>2</t>
    <phoneticPr fontId="5"/>
  </si>
  <si>
    <t>戻り</t>
    <rPh sb="0" eb="1">
      <t>モド</t>
    </rPh>
    <phoneticPr fontId="5"/>
  </si>
  <si>
    <t>DAC2015_LaborCostInfoEntryListDetailDto</t>
    <phoneticPr fontId="5"/>
  </si>
  <si>
    <t>人件費情報入力一覧明細Dto</t>
    <phoneticPr fontId="5"/>
  </si>
  <si>
    <t>選択ＩＤ</t>
  </si>
  <si>
    <t>承認状況区分</t>
  </si>
  <si>
    <t>承認状況</t>
  </si>
  <si>
    <t>更新日</t>
  </si>
  <si>
    <t>経理日</t>
  </si>
  <si>
    <t>更新者</t>
  </si>
  <si>
    <t>支給日</t>
  </si>
  <si>
    <t>入力区分コード</t>
  </si>
  <si>
    <t>入力区分名称</t>
  </si>
  <si>
    <t>連動データ総件数</t>
  </si>
  <si>
    <t>修正総件数</t>
  </si>
  <si>
    <t>伝票番号</t>
  </si>
  <si>
    <t>申請番号</t>
  </si>
  <si>
    <t>排他カウンタ</t>
  </si>
  <si>
    <t>伝票番号（給与控除）</t>
  </si>
  <si>
    <t>申請番号（給与控除）</t>
  </si>
  <si>
    <t>排他カウンタ（給与控除）</t>
  </si>
  <si>
    <t>String</t>
  </si>
  <si>
    <t>LocalDate</t>
  </si>
  <si>
    <t>selectionId</t>
  </si>
  <si>
    <t>shoninJokyoKbn</t>
  </si>
  <si>
    <t>shoninJokyo</t>
  </si>
  <si>
    <t>koshinbi</t>
  </si>
  <si>
    <t>keiribi</t>
  </si>
  <si>
    <t>koshinsha</t>
  </si>
  <si>
    <t>shikyubi</t>
  </si>
  <si>
    <t>nyuryokuKbnCd</t>
  </si>
  <si>
    <t>nyuryokuKbnMeisho</t>
  </si>
  <si>
    <t>rendoDataSokensu</t>
  </si>
  <si>
    <t>shuseiSokensu</t>
  </si>
  <si>
    <t>dempyoNo</t>
  </si>
  <si>
    <t>shinseiNo</t>
  </si>
  <si>
    <t>haitaCnt</t>
  </si>
  <si>
    <t>dempyoNoKyuyoKojo</t>
  </si>
  <si>
    <t>shinseiNoKyuyoKojo</t>
  </si>
  <si>
    <t>haitaCntKyuyoKojo</t>
  </si>
  <si>
    <t>対象年月（From）</t>
    <phoneticPr fontId="5"/>
  </si>
  <si>
    <t>対象年月（To）</t>
    <phoneticPr fontId="5"/>
  </si>
  <si>
    <t>No.3</t>
    <phoneticPr fontId="5"/>
  </si>
  <si>
    <t>対象年月（From）&lt; 対象年月（To）</t>
    <phoneticPr fontId="5"/>
  </si>
  <si>
    <t>対象年月（From）= 対象年月（To）</t>
    <phoneticPr fontId="5"/>
  </si>
  <si>
    <t>前提</t>
    <rPh sb="0" eb="2">
      <t>ゼンテイ</t>
    </rPh>
    <phoneticPr fontId="5"/>
  </si>
  <si>
    <t>5</t>
  </si>
  <si>
    <t>5</t>
    <phoneticPr fontId="5"/>
  </si>
  <si>
    <t>1</t>
    <phoneticPr fontId="5"/>
  </si>
  <si>
    <t>3</t>
  </si>
  <si>
    <t>4</t>
  </si>
  <si>
    <t>6</t>
  </si>
  <si>
    <t>3</t>
    <phoneticPr fontId="5"/>
  </si>
  <si>
    <t>未修正</t>
    <rPh sb="0" eb="2">
      <t>ミシュウセイ</t>
    </rPh>
    <phoneticPr fontId="5"/>
  </si>
  <si>
    <t>20260403</t>
    <phoneticPr fontId="5"/>
  </si>
  <si>
    <t>田中　花子</t>
    <rPh sb="0" eb="1">
      <t>タナカ</t>
    </rPh>
    <rPh sb="2" eb="4">
      <t>ハナコ</t>
    </rPh>
    <phoneticPr fontId="5"/>
  </si>
  <si>
    <t>2026/01/01</t>
    <phoneticPr fontId="5"/>
  </si>
  <si>
    <t>2026/04/04</t>
  </si>
  <si>
    <t>2026/04/03</t>
    <phoneticPr fontId="5"/>
  </si>
  <si>
    <t>2026/04/05</t>
  </si>
  <si>
    <t>2026/04/06</t>
  </si>
  <si>
    <t>2026/04/07</t>
  </si>
  <si>
    <t>2026/04/08</t>
  </si>
  <si>
    <t>2026/01/02</t>
  </si>
  <si>
    <t>2026/01/03</t>
  </si>
  <si>
    <t>2026/01/04</t>
  </si>
  <si>
    <t>2026/01/05</t>
  </si>
  <si>
    <t>2026/01/06</t>
  </si>
  <si>
    <t>会負担健保</t>
    <phoneticPr fontId="5"/>
  </si>
  <si>
    <t>0</t>
    <phoneticPr fontId="5"/>
  </si>
  <si>
    <t>DENPYO000001</t>
  </si>
  <si>
    <t>DENPYO000002</t>
    <phoneticPr fontId="5"/>
  </si>
  <si>
    <t>DENPYO000001</t>
    <phoneticPr fontId="5"/>
  </si>
  <si>
    <t>SHNSE0000001</t>
    <phoneticPr fontId="5"/>
  </si>
  <si>
    <t>SHNSE0000002</t>
    <phoneticPr fontId="5"/>
  </si>
  <si>
    <t>No.4</t>
    <phoneticPr fontId="5"/>
  </si>
  <si>
    <t>No.5</t>
    <phoneticPr fontId="5"/>
  </si>
  <si>
    <t>4</t>
    <phoneticPr fontId="5"/>
  </si>
  <si>
    <t>承認済</t>
    <rPh sb="0" eb="2">
      <t>ショウニン</t>
    </rPh>
    <rPh sb="2" eb="3">
      <t>ズミ</t>
    </rPh>
    <phoneticPr fontId="5"/>
  </si>
  <si>
    <t>No.6</t>
    <phoneticPr fontId="5"/>
  </si>
  <si>
    <t>未修正</t>
    <rPh sb="0" eb="3">
      <t>ミシュウセイ</t>
    </rPh>
    <phoneticPr fontId="5"/>
  </si>
  <si>
    <t>出力</t>
    <rPh sb="0" eb="2">
      <t>シュツリョク</t>
    </rPh>
    <phoneticPr fontId="5"/>
  </si>
  <si>
    <t>DAC2015_LaborCostInfoEntryBasicInputDto</t>
    <phoneticPr fontId="5"/>
  </si>
  <si>
    <t>人件費情報基本入力Dto</t>
    <phoneticPr fontId="5"/>
  </si>
  <si>
    <t>添付ファイルＩＤ１</t>
  </si>
  <si>
    <t>添付ファイル１</t>
  </si>
  <si>
    <t>添付ファイルＩＤ２</t>
  </si>
  <si>
    <t>添付ファイル２</t>
  </si>
  <si>
    <t>添付ファイルＩＤ３</t>
  </si>
  <si>
    <t>添付ファイル３</t>
  </si>
  <si>
    <t>添付ファイル数</t>
  </si>
  <si>
    <t>参照URL</t>
  </si>
  <si>
    <t>org.primefaces.model.file.UploadedFile</t>
  </si>
  <si>
    <t>tenpuFileId1</t>
  </si>
  <si>
    <t>tenpuFile1</t>
  </si>
  <si>
    <t>tenpuFileId2</t>
  </si>
  <si>
    <t>tenpuFile2</t>
  </si>
  <si>
    <t>tenpuFileId3</t>
  </si>
  <si>
    <t>tenpuFile3</t>
  </si>
  <si>
    <t>tenpuFileSuu</t>
  </si>
  <si>
    <t>sanshoUrl</t>
  </si>
  <si>
    <t>1.給与支給&lt;br&gt;2.給与控除</t>
    <phoneticPr fontId="5"/>
  </si>
  <si>
    <t>No.7</t>
    <phoneticPr fontId="5"/>
  </si>
  <si>
    <t>5.預貯金</t>
    <phoneticPr fontId="5"/>
  </si>
  <si>
    <t>正常</t>
    <rPh sb="0" eb="2">
      <t>セイジョウ</t>
    </rPh>
    <phoneticPr fontId="5"/>
  </si>
  <si>
    <t>AAAAA</t>
    <phoneticPr fontId="5"/>
  </si>
  <si>
    <t>BBBBB</t>
    <phoneticPr fontId="5"/>
  </si>
  <si>
    <t>承認依頼中</t>
    <rPh sb="0" eb="4">
      <t>ショウニンイライチュウ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</si>
</sst>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* #,##0.00_);_(* \(#,##0.00\);_(* &quot;-&quot;??_);_(@_)"/>
    <numFmt numFmtId="177" formatCode="&quot;$&quot;#,##0_);\(&quot;$&quot;#,##0\)"/>
    <numFmt numFmtId="178" formatCode="#,##0;\-#,##0;&quot;-&quot;"/>
    <numFmt numFmtId="179" formatCode="&quot;$&quot;#,##0;[Red]\-&quot;$&quot;#,##0"/>
    <numFmt numFmtId="180" formatCode="&quot;$&quot;#,##0.00;[Red]\-&quot;$&quot;#,##0.00"/>
    <numFmt numFmtId="181" formatCode="0.0000000000"/>
    <numFmt numFmtId="182" formatCode="0_ "/>
  </numFmts>
  <fonts count="5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9"/>
      <name val="ＭＳ 明朝"/>
      <family val="1"/>
      <charset val="128"/>
    </font>
    <font>
      <sz val="6"/>
      <name val="ＭＳ 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b/>
      <sz val="28"/>
      <name val="ＭＳ Ｐゴシック"/>
      <family val="3"/>
      <charset val="128"/>
    </font>
    <font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1"/>
      <color indexed="22"/>
      <name val="ＭＳ Ｐゴシック"/>
      <family val="3"/>
      <charset val="128"/>
    </font>
    <font>
      <sz val="10"/>
      <name val="ＭＳ Ｐ明朝"/>
      <family val="1"/>
      <charset val="128"/>
    </font>
    <font>
      <b/>
      <sz val="10"/>
      <name val="MS Sans Serif"/>
      <family val="2"/>
    </font>
    <font>
      <sz val="10"/>
      <color indexed="8"/>
      <name val="Arial"/>
      <family val="2"/>
    </font>
    <font>
      <b/>
      <sz val="10"/>
      <name val="Helv"/>
      <family val="2"/>
    </font>
    <font>
      <sz val="10"/>
      <name val="MS Sans Serif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14"/>
      <name val="ＭＳ 明朝"/>
      <family val="1"/>
      <charset val="128"/>
    </font>
    <font>
      <sz val="11"/>
      <color theme="1"/>
      <name val="ＭＳ Ｐゴシック"/>
      <family val="3"/>
      <charset val="128"/>
    </font>
    <font>
      <sz val="14"/>
      <color theme="1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b/>
      <sz val="22"/>
      <name val="ＭＳ Ｐゴシック"/>
      <family val="3"/>
      <charset val="128"/>
    </font>
    <font>
      <sz val="12"/>
      <name val="ＭＳ 明朝"/>
      <family val="1"/>
      <charset val="128"/>
    </font>
    <font>
      <sz val="11"/>
      <color rgb="FF000000"/>
      <name val="ＭＳ 明朝"/>
      <family val="1"/>
      <charset val="128"/>
    </font>
  </fonts>
  <fills count="3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9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CD5B4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4" tint="0.79998168889431442"/>
        <bgColor indexed="64"/>
      </patternFill>
    </fill>
  </fills>
  <borders count="5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32">
    <xf numFmtId="0" fontId="0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31" fillId="0" borderId="0">
      <alignment vertical="center" wrapText="1"/>
    </xf>
    <xf numFmtId="177" fontId="32" fillId="0" borderId="1" applyAlignment="0" applyProtection="0"/>
    <xf numFmtId="178" fontId="33" fillId="0" borderId="0" applyFill="0" applyBorder="0" applyAlignment="0"/>
    <xf numFmtId="0" fontId="34" fillId="0" borderId="0"/>
    <xf numFmtId="38" fontId="35" fillId="0" borderId="0" applyFont="0" applyFill="0" applyBorder="0" applyAlignment="0" applyProtection="0"/>
    <xf numFmtId="176" fontId="36" fillId="0" borderId="0" applyFont="0" applyFill="0" applyBorder="0" applyAlignment="0" applyProtection="0"/>
    <xf numFmtId="179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38" fontId="37" fillId="16" borderId="0" applyNumberFormat="0" applyBorder="0" applyAlignment="0" applyProtection="0"/>
    <xf numFmtId="0" fontId="38" fillId="0" borderId="0">
      <alignment horizontal="left"/>
    </xf>
    <xf numFmtId="0" fontId="39" fillId="0" borderId="2" applyNumberFormat="0" applyAlignment="0" applyProtection="0">
      <alignment horizontal="left" vertical="center"/>
    </xf>
    <xf numFmtId="0" fontId="39" fillId="0" borderId="3">
      <alignment horizontal="left" vertical="center"/>
    </xf>
    <xf numFmtId="10" fontId="37" fillId="16" borderId="4" applyNumberFormat="0" applyBorder="0" applyAlignment="0" applyProtection="0"/>
    <xf numFmtId="0" fontId="40" fillId="0" borderId="5"/>
    <xf numFmtId="181" fontId="8" fillId="0" borderId="0"/>
    <xf numFmtId="181" fontId="8" fillId="0" borderId="0"/>
    <xf numFmtId="181" fontId="8" fillId="0" borderId="0"/>
    <xf numFmtId="0" fontId="36" fillId="0" borderId="0"/>
    <xf numFmtId="10" fontId="36" fillId="0" borderId="0" applyFont="0" applyFill="0" applyBorder="0" applyAlignment="0" applyProtection="0"/>
    <xf numFmtId="0" fontId="35" fillId="0" borderId="0" applyNumberFormat="0" applyFont="0" applyFill="0" applyBorder="0" applyAlignment="0" applyProtection="0">
      <alignment horizontal="left"/>
    </xf>
    <xf numFmtId="0" fontId="32" fillId="0" borderId="5">
      <alignment horizontal="center"/>
    </xf>
    <xf numFmtId="0" fontId="41" fillId="0" borderId="6"/>
    <xf numFmtId="0" fontId="40" fillId="0" borderId="0"/>
    <xf numFmtId="0" fontId="41" fillId="0" borderId="0"/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1" borderId="7" applyNumberFormat="0" applyAlignment="0" applyProtection="0">
      <alignment vertical="center"/>
    </xf>
    <xf numFmtId="0" fontId="12" fillId="21" borderId="7" applyNumberFormat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9" fillId="23" borderId="8" applyNumberFormat="0" applyFont="0" applyAlignment="0" applyProtection="0">
      <alignment vertical="center"/>
    </xf>
    <xf numFmtId="0" fontId="6" fillId="23" borderId="8" applyNumberFormat="0" applyFon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6" fillId="24" borderId="10" applyNumberFormat="0" applyAlignment="0" applyProtection="0">
      <alignment vertical="center"/>
    </xf>
    <xf numFmtId="0" fontId="16" fillId="24" borderId="10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24" borderId="15" applyNumberFormat="0" applyAlignment="0" applyProtection="0">
      <alignment vertical="center"/>
    </xf>
    <xf numFmtId="0" fontId="22" fillId="24" borderId="15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4" fillId="0" borderId="0">
      <alignment horizontal="center" vertical="center"/>
    </xf>
    <xf numFmtId="0" fontId="24" fillId="7" borderId="10" applyNumberFormat="0" applyAlignment="0" applyProtection="0">
      <alignment vertical="center"/>
    </xf>
    <xf numFmtId="0" fontId="24" fillId="7" borderId="10" applyNumberFormat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4" fillId="0" borderId="0"/>
    <xf numFmtId="0" fontId="42" fillId="0" borderId="0"/>
    <xf numFmtId="0" fontId="43" fillId="0" borderId="0"/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4" fillId="7" borderId="10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2" fillId="24" borderId="15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/>
    <xf numFmtId="9" fontId="8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148">
    <xf numFmtId="0" fontId="0" fillId="0" borderId="0" xfId="0">
      <alignment vertical="center"/>
    </xf>
    <xf numFmtId="0" fontId="6" fillId="0" borderId="0" xfId="110" applyFont="1" applyAlignment="1">
      <alignment vertical="center"/>
    </xf>
    <xf numFmtId="0" fontId="6" fillId="0" borderId="0" xfId="110" applyFont="1" applyAlignment="1">
      <alignment vertical="top"/>
    </xf>
    <xf numFmtId="0" fontId="7" fillId="0" borderId="0" xfId="0" applyFont="1">
      <alignment vertical="center"/>
    </xf>
    <xf numFmtId="0" fontId="6" fillId="0" borderId="4" xfId="0" applyFont="1" applyBorder="1" applyAlignment="1">
      <alignment horizontal="left" vertical="top" wrapText="1"/>
    </xf>
    <xf numFmtId="0" fontId="6" fillId="0" borderId="0" xfId="110" applyFont="1" applyAlignment="1">
      <alignment vertical="top" wrapText="1"/>
    </xf>
    <xf numFmtId="49" fontId="6" fillId="0" borderId="0" xfId="110" applyNumberFormat="1" applyFont="1" applyAlignment="1">
      <alignment vertical="top" wrapText="1"/>
    </xf>
    <xf numFmtId="0" fontId="6" fillId="0" borderId="0" xfId="110" applyFont="1" applyAlignment="1">
      <alignment horizontal="center" vertical="top" wrapText="1"/>
    </xf>
    <xf numFmtId="0" fontId="8" fillId="0" borderId="0" xfId="107">
      <alignment vertical="center"/>
    </xf>
    <xf numFmtId="49" fontId="44" fillId="25" borderId="0" xfId="107" applyNumberFormat="1" applyFont="1" applyFill="1" applyAlignment="1">
      <alignment horizontal="left" vertical="top" wrapText="1"/>
    </xf>
    <xf numFmtId="49" fontId="8" fillId="25" borderId="0" xfId="107" applyNumberFormat="1" applyFill="1" applyAlignment="1">
      <alignment horizontal="left" vertical="top" wrapText="1"/>
    </xf>
    <xf numFmtId="0" fontId="29" fillId="0" borderId="0" xfId="107" applyFont="1">
      <alignment vertical="center"/>
    </xf>
    <xf numFmtId="0" fontId="8" fillId="25" borderId="0" xfId="107" applyFill="1">
      <alignment vertical="center"/>
    </xf>
    <xf numFmtId="0" fontId="30" fillId="25" borderId="0" xfId="107" applyFont="1" applyFill="1">
      <alignment vertical="center"/>
    </xf>
    <xf numFmtId="0" fontId="6" fillId="0" borderId="0" xfId="0" applyFont="1" applyAlignment="1">
      <alignment vertical="top" wrapText="1"/>
    </xf>
    <xf numFmtId="0" fontId="6" fillId="0" borderId="0" xfId="110" applyFont="1" applyAlignment="1">
      <alignment vertical="center" wrapText="1"/>
    </xf>
    <xf numFmtId="0" fontId="6" fillId="0" borderId="4" xfId="0" applyFont="1" applyBorder="1" applyAlignment="1">
      <alignment horizontal="right" vertical="top" wrapText="1"/>
    </xf>
    <xf numFmtId="49" fontId="6" fillId="0" borderId="4" xfId="110" applyNumberFormat="1" applyFont="1" applyBorder="1" applyAlignment="1">
      <alignment horizontal="left" vertical="top" wrapText="1"/>
    </xf>
    <xf numFmtId="0" fontId="6" fillId="0" borderId="4" xfId="110" applyFont="1" applyBorder="1" applyAlignment="1">
      <alignment horizontal="left" vertical="top" wrapText="1"/>
    </xf>
    <xf numFmtId="0" fontId="6" fillId="0" borderId="0" xfId="0" applyFont="1" applyAlignment="1">
      <alignment vertical="center" wrapText="1"/>
    </xf>
    <xf numFmtId="0" fontId="6" fillId="0" borderId="0" xfId="108" applyFont="1" applyAlignment="1">
      <alignment wrapText="1"/>
    </xf>
    <xf numFmtId="0" fontId="6" fillId="0" borderId="0" xfId="108" applyFont="1" applyAlignment="1">
      <alignment horizontal="center" wrapText="1"/>
    </xf>
    <xf numFmtId="0" fontId="6" fillId="0" borderId="0" xfId="108" applyFont="1" applyAlignment="1">
      <alignment vertical="top" wrapText="1"/>
    </xf>
    <xf numFmtId="0" fontId="6" fillId="0" borderId="4" xfId="108" applyFont="1" applyBorder="1" applyAlignment="1">
      <alignment horizontal="right" vertical="top" wrapText="1"/>
    </xf>
    <xf numFmtId="0" fontId="6" fillId="0" borderId="0" xfId="108" applyFont="1"/>
    <xf numFmtId="0" fontId="6" fillId="26" borderId="4" xfId="0" applyFont="1" applyFill="1" applyBorder="1" applyAlignment="1">
      <alignment horizontal="center" vertical="center" wrapText="1"/>
    </xf>
    <xf numFmtId="0" fontId="6" fillId="26" borderId="40" xfId="108" applyFont="1" applyFill="1" applyBorder="1" applyAlignment="1">
      <alignment horizontal="left" vertical="top" wrapText="1"/>
    </xf>
    <xf numFmtId="0" fontId="7" fillId="26" borderId="16" xfId="0" applyFont="1" applyFill="1" applyBorder="1" applyAlignment="1">
      <alignment horizontal="center" vertical="center"/>
    </xf>
    <xf numFmtId="0" fontId="6" fillId="26" borderId="17" xfId="0" applyFont="1" applyFill="1" applyBorder="1" applyAlignment="1">
      <alignment horizontal="center" vertical="center" wrapText="1"/>
    </xf>
    <xf numFmtId="0" fontId="6" fillId="0" borderId="0" xfId="110" applyFont="1" applyAlignment="1">
      <alignment horizontal="center" vertical="center" wrapText="1"/>
    </xf>
    <xf numFmtId="0" fontId="8" fillId="0" borderId="0" xfId="107" applyAlignment="1">
      <alignment horizontal="right" vertical="center"/>
    </xf>
    <xf numFmtId="0" fontId="44" fillId="25" borderId="0" xfId="107" applyFont="1" applyFill="1" applyAlignment="1">
      <alignment horizontal="center" vertical="center"/>
    </xf>
    <xf numFmtId="0" fontId="6" fillId="0" borderId="47" xfId="0" applyFont="1" applyBorder="1" applyAlignment="1">
      <alignment horizontal="center" vertical="top" wrapText="1"/>
    </xf>
    <xf numFmtId="14" fontId="6" fillId="0" borderId="48" xfId="0" applyNumberFormat="1" applyFont="1" applyBorder="1" applyAlignment="1">
      <alignment horizontal="center" vertical="top" wrapText="1"/>
    </xf>
    <xf numFmtId="0" fontId="6" fillId="26" borderId="16" xfId="0" applyFont="1" applyFill="1" applyBorder="1" applyAlignment="1">
      <alignment horizontal="center" vertical="center" wrapText="1"/>
    </xf>
    <xf numFmtId="0" fontId="6" fillId="27" borderId="19" xfId="108" applyFont="1" applyFill="1" applyBorder="1" applyAlignment="1">
      <alignment horizontal="left" vertical="top" wrapText="1"/>
    </xf>
    <xf numFmtId="0" fontId="6" fillId="27" borderId="4" xfId="108" applyFont="1" applyFill="1" applyBorder="1" applyAlignment="1">
      <alignment horizontal="center" vertical="center" wrapText="1"/>
    </xf>
    <xf numFmtId="0" fontId="6" fillId="27" borderId="3" xfId="109" applyFont="1" applyFill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28" borderId="4" xfId="0" applyFont="1" applyFill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right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vertical="top"/>
    </xf>
    <xf numFmtId="0" fontId="6" fillId="28" borderId="16" xfId="0" applyFont="1" applyFill="1" applyBorder="1" applyAlignment="1">
      <alignment horizontal="left" vertical="center" wrapText="1"/>
    </xf>
    <xf numFmtId="0" fontId="6" fillId="28" borderId="17" xfId="0" applyFont="1" applyFill="1" applyBorder="1" applyAlignment="1">
      <alignment horizontal="center" vertical="top" wrapText="1"/>
    </xf>
    <xf numFmtId="0" fontId="6" fillId="28" borderId="49" xfId="0" applyFont="1" applyFill="1" applyBorder="1" applyAlignment="1">
      <alignment horizontal="center" vertical="top" wrapText="1"/>
    </xf>
    <xf numFmtId="0" fontId="6" fillId="28" borderId="50" xfId="0" applyFont="1" applyFill="1" applyBorder="1" applyAlignment="1">
      <alignment vertical="top" wrapText="1"/>
    </xf>
    <xf numFmtId="0" fontId="6" fillId="28" borderId="3" xfId="0" applyFont="1" applyFill="1" applyBorder="1" applyAlignment="1">
      <alignment vertical="top" wrapText="1"/>
    </xf>
    <xf numFmtId="0" fontId="6" fillId="28" borderId="19" xfId="0" applyFont="1" applyFill="1" applyBorder="1" applyAlignment="1">
      <alignment horizontal="left" vertical="top" wrapText="1"/>
    </xf>
    <xf numFmtId="0" fontId="6" fillId="28" borderId="40" xfId="0" applyFont="1" applyFill="1" applyBorder="1" applyAlignment="1">
      <alignment horizontal="left" vertical="top" wrapText="1"/>
    </xf>
    <xf numFmtId="0" fontId="6" fillId="29" borderId="49" xfId="0" applyFont="1" applyFill="1" applyBorder="1" applyAlignment="1">
      <alignment horizontal="left" vertical="top" wrapText="1"/>
    </xf>
    <xf numFmtId="0" fontId="6" fillId="0" borderId="19" xfId="0" applyFont="1" applyBorder="1" applyAlignment="1">
      <alignment horizontal="center" vertical="center" wrapText="1"/>
    </xf>
    <xf numFmtId="0" fontId="6" fillId="28" borderId="20" xfId="0" applyFont="1" applyFill="1" applyBorder="1" applyAlignment="1">
      <alignment horizontal="left" vertical="top" wrapText="1"/>
    </xf>
    <xf numFmtId="0" fontId="6" fillId="28" borderId="3" xfId="0" applyFont="1" applyFill="1" applyBorder="1" applyAlignment="1">
      <alignment horizontal="right" vertical="top" wrapText="1"/>
    </xf>
    <xf numFmtId="0" fontId="6" fillId="28" borderId="49" xfId="0" applyFont="1" applyFill="1" applyBorder="1" applyAlignment="1">
      <alignment horizontal="left" vertical="top" wrapText="1"/>
    </xf>
    <xf numFmtId="0" fontId="6" fillId="28" borderId="50" xfId="0" applyFont="1" applyFill="1" applyBorder="1" applyAlignment="1">
      <alignment horizontal="left" vertical="top" wrapText="1"/>
    </xf>
    <xf numFmtId="0" fontId="6" fillId="28" borderId="3" xfId="0" applyFont="1" applyFill="1" applyBorder="1" applyAlignment="1">
      <alignment horizontal="center" vertical="center" wrapText="1"/>
    </xf>
    <xf numFmtId="0" fontId="6" fillId="0" borderId="51" xfId="0" applyFont="1" applyBorder="1" applyAlignment="1">
      <alignment horizontal="center" vertical="center" wrapText="1"/>
    </xf>
    <xf numFmtId="0" fontId="6" fillId="28" borderId="3" xfId="0" applyFont="1" applyFill="1" applyBorder="1" applyAlignment="1">
      <alignment horizontal="left" vertical="top" wrapText="1"/>
    </xf>
    <xf numFmtId="0" fontId="6" fillId="28" borderId="52" xfId="0" applyFont="1" applyFill="1" applyBorder="1" applyAlignment="1">
      <alignment horizontal="left" vertical="top" wrapText="1"/>
    </xf>
    <xf numFmtId="0" fontId="6" fillId="28" borderId="52" xfId="0" applyFont="1" applyFill="1" applyBorder="1" applyAlignment="1">
      <alignment horizontal="center" vertical="center" wrapText="1"/>
    </xf>
    <xf numFmtId="0" fontId="6" fillId="28" borderId="4" xfId="0" applyFont="1" applyFill="1" applyBorder="1" applyAlignment="1">
      <alignment horizontal="center" vertical="top" wrapText="1"/>
    </xf>
    <xf numFmtId="0" fontId="6" fillId="28" borderId="19" xfId="0" applyFont="1" applyFill="1" applyBorder="1" applyAlignment="1">
      <alignment vertical="top" wrapText="1"/>
    </xf>
    <xf numFmtId="0" fontId="6" fillId="28" borderId="42" xfId="0" applyFont="1" applyFill="1" applyBorder="1" applyAlignment="1">
      <alignment horizontal="left" vertical="top" wrapText="1"/>
    </xf>
    <xf numFmtId="0" fontId="6" fillId="0" borderId="40" xfId="0" applyFont="1" applyBorder="1" applyAlignment="1">
      <alignment horizontal="right" vertical="top" wrapText="1"/>
    </xf>
    <xf numFmtId="0" fontId="6" fillId="0" borderId="18" xfId="0" applyFont="1" applyBorder="1" applyAlignment="1">
      <alignment horizontal="center" vertical="center" wrapText="1"/>
    </xf>
    <xf numFmtId="0" fontId="6" fillId="30" borderId="43" xfId="0" applyFont="1" applyFill="1" applyBorder="1" applyAlignment="1">
      <alignment horizontal="left" vertical="top" wrapText="1"/>
    </xf>
    <xf numFmtId="0" fontId="6" fillId="0" borderId="44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right" vertical="top" wrapText="1"/>
    </xf>
    <xf numFmtId="0" fontId="6" fillId="0" borderId="45" xfId="0" applyFont="1" applyBorder="1" applyAlignment="1">
      <alignment horizontal="left" vertical="top" wrapText="1"/>
    </xf>
    <xf numFmtId="0" fontId="6" fillId="0" borderId="41" xfId="0" applyFont="1" applyBorder="1" applyAlignment="1">
      <alignment horizontal="right" vertical="top" wrapText="1"/>
    </xf>
    <xf numFmtId="0" fontId="6" fillId="0" borderId="46" xfId="0" applyFont="1" applyBorder="1" applyAlignment="1">
      <alignment horizontal="left" vertical="top" wrapText="1"/>
    </xf>
    <xf numFmtId="0" fontId="6" fillId="28" borderId="20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/>
    <xf numFmtId="0" fontId="6" fillId="0" borderId="0" xfId="0" applyFont="1" applyAlignment="1">
      <alignment vertical="top" textRotation="255"/>
    </xf>
    <xf numFmtId="182" fontId="6" fillId="0" borderId="4" xfId="108" applyNumberFormat="1" applyFont="1" applyBorder="1" applyAlignment="1">
      <alignment horizontal="center" vertical="center" wrapText="1"/>
    </xf>
    <xf numFmtId="0" fontId="6" fillId="0" borderId="0" xfId="0" applyFont="1">
      <alignment vertical="center"/>
    </xf>
    <xf numFmtId="0" fontId="6" fillId="27" borderId="3" xfId="108" applyFont="1" applyFill="1" applyBorder="1" applyAlignment="1">
      <alignment horizontal="left" vertical="top" wrapText="1"/>
    </xf>
    <xf numFmtId="0" fontId="6" fillId="0" borderId="4" xfId="108" applyFont="1" applyBorder="1" applyAlignment="1">
      <alignment horizontal="center" vertical="center" wrapText="1"/>
    </xf>
    <xf numFmtId="0" fontId="6" fillId="29" borderId="53" xfId="0" applyFont="1" applyFill="1" applyBorder="1" applyAlignment="1">
      <alignment horizontal="left" vertical="top" wrapText="1"/>
    </xf>
    <xf numFmtId="0" fontId="30" fillId="0" borderId="21" xfId="107" applyFont="1" applyBorder="1" applyAlignment="1">
      <alignment horizontal="center" vertical="center"/>
    </xf>
    <xf numFmtId="0" fontId="30" fillId="0" borderId="22" xfId="107" applyFont="1" applyBorder="1" applyAlignment="1">
      <alignment horizontal="center" vertical="center"/>
    </xf>
    <xf numFmtId="0" fontId="30" fillId="0" borderId="23" xfId="107" applyFont="1" applyBorder="1" applyAlignment="1">
      <alignment horizontal="center" vertical="center"/>
    </xf>
    <xf numFmtId="0" fontId="8" fillId="26" borderId="24" xfId="107" applyFill="1" applyBorder="1" applyAlignment="1">
      <alignment horizontal="center" vertical="center"/>
    </xf>
    <xf numFmtId="0" fontId="8" fillId="26" borderId="25" xfId="107" applyFill="1" applyBorder="1" applyAlignment="1">
      <alignment horizontal="center" vertical="center"/>
    </xf>
    <xf numFmtId="0" fontId="8" fillId="26" borderId="26" xfId="107" applyFill="1" applyBorder="1" applyAlignment="1">
      <alignment horizontal="center" vertical="center"/>
    </xf>
    <xf numFmtId="0" fontId="45" fillId="26" borderId="21" xfId="107" applyFont="1" applyFill="1" applyBorder="1" applyAlignment="1">
      <alignment horizontal="center" vertical="center" shrinkToFit="1"/>
    </xf>
    <xf numFmtId="0" fontId="45" fillId="26" borderId="22" xfId="107" applyFont="1" applyFill="1" applyBorder="1" applyAlignment="1">
      <alignment horizontal="center" vertical="center" shrinkToFit="1"/>
    </xf>
    <xf numFmtId="0" fontId="45" fillId="26" borderId="27" xfId="107" applyFont="1" applyFill="1" applyBorder="1" applyAlignment="1">
      <alignment horizontal="center" vertical="center" shrinkToFit="1"/>
    </xf>
    <xf numFmtId="49" fontId="45" fillId="0" borderId="28" xfId="107" applyNumberFormat="1" applyFont="1" applyBorder="1" applyAlignment="1">
      <alignment horizontal="center" vertical="center" wrapText="1"/>
    </xf>
    <xf numFmtId="49" fontId="45" fillId="0" borderId="22" xfId="107" applyNumberFormat="1" applyFont="1" applyBorder="1" applyAlignment="1">
      <alignment horizontal="center" vertical="center" wrapText="1"/>
    </xf>
    <xf numFmtId="49" fontId="45" fillId="0" borderId="23" xfId="107" applyNumberFormat="1" applyFont="1" applyBorder="1" applyAlignment="1">
      <alignment horizontal="center" vertical="center" wrapText="1"/>
    </xf>
    <xf numFmtId="49" fontId="45" fillId="0" borderId="28" xfId="107" applyNumberFormat="1" applyFont="1" applyBorder="1" applyAlignment="1">
      <alignment horizontal="left" vertical="center" wrapText="1"/>
    </xf>
    <xf numFmtId="49" fontId="45" fillId="0" borderId="22" xfId="107" applyNumberFormat="1" applyFont="1" applyBorder="1" applyAlignment="1">
      <alignment horizontal="left" vertical="center" wrapText="1"/>
    </xf>
    <xf numFmtId="49" fontId="45" fillId="0" borderId="23" xfId="107" applyNumberFormat="1" applyFont="1" applyBorder="1" applyAlignment="1">
      <alignment horizontal="left" vertical="center" wrapText="1"/>
    </xf>
    <xf numFmtId="0" fontId="44" fillId="25" borderId="0" xfId="107" applyFont="1" applyFill="1" applyAlignment="1">
      <alignment horizontal="center" vertical="center"/>
    </xf>
    <xf numFmtId="0" fontId="8" fillId="25" borderId="0" xfId="107" applyFill="1" applyAlignment="1">
      <alignment horizontal="center" vertical="center"/>
    </xf>
    <xf numFmtId="0" fontId="45" fillId="26" borderId="29" xfId="107" applyFont="1" applyFill="1" applyBorder="1" applyAlignment="1">
      <alignment horizontal="center" vertical="center" shrinkToFit="1"/>
    </xf>
    <xf numFmtId="0" fontId="45" fillId="26" borderId="3" xfId="107" applyFont="1" applyFill="1" applyBorder="1" applyAlignment="1">
      <alignment horizontal="center" vertical="center" shrinkToFit="1"/>
    </xf>
    <xf numFmtId="0" fontId="45" fillId="26" borderId="19" xfId="107" applyFont="1" applyFill="1" applyBorder="1" applyAlignment="1">
      <alignment horizontal="center" vertical="center" shrinkToFit="1"/>
    </xf>
    <xf numFmtId="49" fontId="27" fillId="0" borderId="17" xfId="107" applyNumberFormat="1" applyFont="1" applyBorder="1" applyAlignment="1">
      <alignment horizontal="left" vertical="center" wrapText="1"/>
    </xf>
    <xf numFmtId="49" fontId="27" fillId="0" borderId="3" xfId="107" applyNumberFormat="1" applyFont="1" applyBorder="1" applyAlignment="1">
      <alignment horizontal="left" vertical="center" wrapText="1"/>
    </xf>
    <xf numFmtId="49" fontId="27" fillId="0" borderId="30" xfId="107" applyNumberFormat="1" applyFont="1" applyBorder="1" applyAlignment="1">
      <alignment horizontal="left" vertical="center" wrapText="1"/>
    </xf>
    <xf numFmtId="49" fontId="27" fillId="0" borderId="17" xfId="107" applyNumberFormat="1" applyFont="1" applyBorder="1" applyAlignment="1">
      <alignment horizontal="center" vertical="center" wrapText="1"/>
    </xf>
    <xf numFmtId="49" fontId="27" fillId="0" borderId="3" xfId="107" applyNumberFormat="1" applyFont="1" applyBorder="1" applyAlignment="1">
      <alignment horizontal="center" vertical="center" wrapText="1"/>
    </xf>
    <xf numFmtId="49" fontId="27" fillId="0" borderId="30" xfId="107" applyNumberFormat="1" applyFont="1" applyBorder="1" applyAlignment="1">
      <alignment horizontal="center" vertical="center" wrapText="1"/>
    </xf>
    <xf numFmtId="0" fontId="27" fillId="0" borderId="17" xfId="107" applyFont="1" applyBorder="1" applyAlignment="1">
      <alignment horizontal="left" vertical="center" wrapText="1"/>
    </xf>
    <xf numFmtId="0" fontId="27" fillId="26" borderId="29" xfId="107" applyFont="1" applyFill="1" applyBorder="1" applyAlignment="1">
      <alignment horizontal="center" vertical="center" shrinkToFit="1"/>
    </xf>
    <xf numFmtId="0" fontId="27" fillId="26" borderId="3" xfId="107" applyFont="1" applyFill="1" applyBorder="1" applyAlignment="1">
      <alignment horizontal="center" vertical="center" shrinkToFit="1"/>
    </xf>
    <xf numFmtId="0" fontId="27" fillId="26" borderId="19" xfId="107" applyFont="1" applyFill="1" applyBorder="1" applyAlignment="1">
      <alignment horizontal="center" vertical="center" shrinkToFit="1"/>
    </xf>
    <xf numFmtId="0" fontId="26" fillId="26" borderId="31" xfId="107" applyFont="1" applyFill="1" applyBorder="1" applyAlignment="1">
      <alignment horizontal="center" vertical="center" wrapText="1"/>
    </xf>
    <xf numFmtId="0" fontId="26" fillId="26" borderId="32" xfId="107" applyFont="1" applyFill="1" applyBorder="1" applyAlignment="1">
      <alignment horizontal="center" vertical="center"/>
    </xf>
    <xf numFmtId="0" fontId="26" fillId="26" borderId="33" xfId="107" applyFont="1" applyFill="1" applyBorder="1" applyAlignment="1">
      <alignment horizontal="center" vertical="center"/>
    </xf>
    <xf numFmtId="0" fontId="26" fillId="26" borderId="34" xfId="107" applyFont="1" applyFill="1" applyBorder="1" applyAlignment="1">
      <alignment horizontal="center" vertical="center"/>
    </xf>
    <xf numFmtId="0" fontId="26" fillId="26" borderId="0" xfId="107" applyFont="1" applyFill="1" applyAlignment="1">
      <alignment horizontal="center" vertical="center"/>
    </xf>
    <xf numFmtId="0" fontId="26" fillId="26" borderId="35" xfId="107" applyFont="1" applyFill="1" applyBorder="1" applyAlignment="1">
      <alignment horizontal="center" vertical="center"/>
    </xf>
    <xf numFmtId="0" fontId="26" fillId="26" borderId="36" xfId="107" applyFont="1" applyFill="1" applyBorder="1" applyAlignment="1">
      <alignment horizontal="center" vertical="center"/>
    </xf>
    <xf numFmtId="0" fontId="26" fillId="26" borderId="5" xfId="107" applyFont="1" applyFill="1" applyBorder="1" applyAlignment="1">
      <alignment horizontal="center" vertical="center"/>
    </xf>
    <xf numFmtId="0" fontId="26" fillId="26" borderId="37" xfId="107" applyFont="1" applyFill="1" applyBorder="1" applyAlignment="1">
      <alignment horizontal="center" vertical="center"/>
    </xf>
    <xf numFmtId="0" fontId="27" fillId="26" borderId="24" xfId="107" applyFont="1" applyFill="1" applyBorder="1" applyAlignment="1">
      <alignment horizontal="center" vertical="center" shrinkToFit="1"/>
    </xf>
    <xf numFmtId="0" fontId="27" fillId="26" borderId="25" xfId="107" applyFont="1" applyFill="1" applyBorder="1" applyAlignment="1">
      <alignment horizontal="center" vertical="center" shrinkToFit="1"/>
    </xf>
    <xf numFmtId="0" fontId="27" fillId="26" borderId="38" xfId="107" applyFont="1" applyFill="1" applyBorder="1" applyAlignment="1">
      <alignment horizontal="center" vertical="center" shrinkToFit="1"/>
    </xf>
    <xf numFmtId="49" fontId="27" fillId="0" borderId="39" xfId="107" applyNumberFormat="1" applyFont="1" applyBorder="1" applyAlignment="1">
      <alignment horizontal="left" vertical="center" wrapText="1"/>
    </xf>
    <xf numFmtId="49" fontId="27" fillId="0" borderId="25" xfId="107" applyNumberFormat="1" applyFont="1" applyBorder="1" applyAlignment="1">
      <alignment horizontal="left" vertical="center" wrapText="1"/>
    </xf>
    <xf numFmtId="49" fontId="27" fillId="0" borderId="26" xfId="107" applyNumberFormat="1" applyFont="1" applyBorder="1" applyAlignment="1">
      <alignment horizontal="left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top" wrapText="1"/>
    </xf>
    <xf numFmtId="0" fontId="6" fillId="0" borderId="41" xfId="0" applyFont="1" applyBorder="1" applyAlignment="1">
      <alignment horizontal="center" vertical="top" wrapText="1"/>
    </xf>
    <xf numFmtId="0" fontId="6" fillId="0" borderId="16" xfId="0" applyFont="1" applyBorder="1" applyAlignment="1">
      <alignment horizontal="left" vertical="top" wrapText="1"/>
    </xf>
    <xf numFmtId="0" fontId="6" fillId="0" borderId="41" xfId="0" applyFont="1" applyBorder="1" applyAlignment="1">
      <alignment horizontal="left" vertical="top" wrapText="1"/>
    </xf>
    <xf numFmtId="0" fontId="6" fillId="0" borderId="17" xfId="109" applyFont="1" applyBorder="1" applyAlignment="1">
      <alignment horizontal="left" vertical="top" wrapText="1"/>
    </xf>
    <xf numFmtId="0" fontId="6" fillId="0" borderId="19" xfId="109" applyFont="1" applyBorder="1" applyAlignment="1">
      <alignment horizontal="left" vertical="top" wrapText="1"/>
    </xf>
    <xf numFmtId="0" fontId="6" fillId="0" borderId="0" xfId="0" applyFont="1">
      <alignment vertical="center"/>
    </xf>
    <xf numFmtId="0" fontId="6" fillId="0" borderId="54" xfId="0" applyFont="1" applyBorder="1" applyAlignment="1">
      <alignment horizontal="left" vertical="top" wrapText="1"/>
    </xf>
    <xf numFmtId="0" fontId="6" fillId="0" borderId="50" xfId="0" applyFont="1" applyBorder="1" applyAlignment="1">
      <alignment horizontal="left" vertical="top" wrapText="1"/>
    </xf>
    <xf numFmtId="0" fontId="6" fillId="0" borderId="55" xfId="0" applyFont="1" applyBorder="1" applyAlignment="1">
      <alignment horizontal="left" vertical="top" wrapText="1"/>
    </xf>
    <xf numFmtId="0" fontId="6" fillId="0" borderId="56" xfId="0" applyFont="1" applyBorder="1" applyAlignment="1">
      <alignment horizontal="left" vertical="top" wrapText="1"/>
    </xf>
    <xf numFmtId="49" fontId="42" fillId="0" borderId="0" xfId="0" applyNumberFormat="1" applyFont="1" applyAlignment="1">
      <alignment vertical="center" wrapText="1"/>
    </xf>
    <xf numFmtId="49" fontId="0" fillId="0" borderId="0" xfId="0" applyNumberFormat="1">
      <alignment vertical="center"/>
    </xf>
    <xf numFmtId="49" fontId="0" fillId="26" borderId="4" xfId="0" applyNumberFormat="1" applyFill="1" applyBorder="1">
      <alignment vertical="center"/>
    </xf>
    <xf numFmtId="49" fontId="0" fillId="0" borderId="4" xfId="0" applyNumberFormat="1" applyBorder="1">
      <alignment vertical="center"/>
    </xf>
    <xf numFmtId="49" fontId="49" fillId="31" borderId="4" xfId="0" applyNumberFormat="1" applyFont="1" applyFill="1" applyBorder="1" applyAlignment="1">
      <alignment vertical="center" wrapText="1"/>
    </xf>
    <xf numFmtId="49" fontId="50" fillId="0" borderId="41" xfId="0" quotePrefix="1" applyNumberFormat="1" applyFont="1" applyBorder="1">
      <alignment vertical="center"/>
    </xf>
    <xf numFmtId="49" fontId="50" fillId="32" borderId="41" xfId="0" quotePrefix="1" applyNumberFormat="1" applyFont="1" applyFill="1" applyBorder="1">
      <alignment vertical="center"/>
    </xf>
    <xf numFmtId="49" fontId="0" fillId="0" borderId="57" xfId="0" applyNumberFormat="1" applyBorder="1">
      <alignment vertical="center"/>
    </xf>
  </cellXfs>
  <cellStyles count="132">
    <cellStyle name="20% - アクセント 1 2" xfId="1" xr:uid="{00000000-0005-0000-0000-000000000000}"/>
    <cellStyle name="20% - アクセント 1 3" xfId="2" xr:uid="{00000000-0005-0000-0000-000001000000}"/>
    <cellStyle name="20% - アクセント 2 2" xfId="3" xr:uid="{00000000-0005-0000-0000-000002000000}"/>
    <cellStyle name="20% - アクセント 2 3" xfId="4" xr:uid="{00000000-0005-0000-0000-000003000000}"/>
    <cellStyle name="20% - アクセント 3 2" xfId="5" xr:uid="{00000000-0005-0000-0000-000004000000}"/>
    <cellStyle name="20% - アクセント 3 3" xfId="6" xr:uid="{00000000-0005-0000-0000-000005000000}"/>
    <cellStyle name="20% - アクセント 4 2" xfId="7" xr:uid="{00000000-0005-0000-0000-000006000000}"/>
    <cellStyle name="20% - アクセント 4 3" xfId="8" xr:uid="{00000000-0005-0000-0000-000007000000}"/>
    <cellStyle name="20% - アクセント 5 2" xfId="9" xr:uid="{00000000-0005-0000-0000-000008000000}"/>
    <cellStyle name="20% - アクセント 5 3" xfId="10" xr:uid="{00000000-0005-0000-0000-000009000000}"/>
    <cellStyle name="20% - アクセント 6 2" xfId="11" xr:uid="{00000000-0005-0000-0000-00000A000000}"/>
    <cellStyle name="20% - アクセント 6 3" xfId="12" xr:uid="{00000000-0005-0000-0000-00000B000000}"/>
    <cellStyle name="40% - アクセント 1 2" xfId="13" xr:uid="{00000000-0005-0000-0000-00000C000000}"/>
    <cellStyle name="40% - アクセント 1 3" xfId="14" xr:uid="{00000000-0005-0000-0000-00000D000000}"/>
    <cellStyle name="40% - アクセント 2 2" xfId="15" xr:uid="{00000000-0005-0000-0000-00000E000000}"/>
    <cellStyle name="40% - アクセント 2 3" xfId="16" xr:uid="{00000000-0005-0000-0000-00000F000000}"/>
    <cellStyle name="40% - アクセント 3 2" xfId="17" xr:uid="{00000000-0005-0000-0000-000010000000}"/>
    <cellStyle name="40% - アクセント 3 3" xfId="18" xr:uid="{00000000-0005-0000-0000-000011000000}"/>
    <cellStyle name="40% - アクセント 4 2" xfId="19" xr:uid="{00000000-0005-0000-0000-000012000000}"/>
    <cellStyle name="40% - アクセント 4 3" xfId="20" xr:uid="{00000000-0005-0000-0000-000013000000}"/>
    <cellStyle name="40% - アクセント 5 2" xfId="21" xr:uid="{00000000-0005-0000-0000-000014000000}"/>
    <cellStyle name="40% - アクセント 5 3" xfId="22" xr:uid="{00000000-0005-0000-0000-000015000000}"/>
    <cellStyle name="40% - アクセント 6 2" xfId="23" xr:uid="{00000000-0005-0000-0000-000016000000}"/>
    <cellStyle name="40% - アクセント 6 3" xfId="24" xr:uid="{00000000-0005-0000-0000-000017000000}"/>
    <cellStyle name="60% - アクセント 1 2" xfId="25" xr:uid="{00000000-0005-0000-0000-000018000000}"/>
    <cellStyle name="60% - アクセント 1 3" xfId="26" xr:uid="{00000000-0005-0000-0000-000019000000}"/>
    <cellStyle name="60% - アクセント 2 2" xfId="27" xr:uid="{00000000-0005-0000-0000-00001A000000}"/>
    <cellStyle name="60% - アクセント 2 3" xfId="28" xr:uid="{00000000-0005-0000-0000-00001B000000}"/>
    <cellStyle name="60% - アクセント 3 2" xfId="29" xr:uid="{00000000-0005-0000-0000-00001C000000}"/>
    <cellStyle name="60% - アクセント 3 3" xfId="30" xr:uid="{00000000-0005-0000-0000-00001D000000}"/>
    <cellStyle name="60% - アクセント 4 2" xfId="31" xr:uid="{00000000-0005-0000-0000-00001E000000}"/>
    <cellStyle name="60% - アクセント 4 3" xfId="32" xr:uid="{00000000-0005-0000-0000-00001F000000}"/>
    <cellStyle name="60% - アクセント 5 2" xfId="33" xr:uid="{00000000-0005-0000-0000-000020000000}"/>
    <cellStyle name="60% - アクセント 5 3" xfId="34" xr:uid="{00000000-0005-0000-0000-000021000000}"/>
    <cellStyle name="60% - アクセント 6 2" xfId="35" xr:uid="{00000000-0005-0000-0000-000022000000}"/>
    <cellStyle name="60% - アクセント 6 3" xfId="36" xr:uid="{00000000-0005-0000-0000-000023000000}"/>
    <cellStyle name="BD標準" xfId="37" xr:uid="{00000000-0005-0000-0000-000024000000}"/>
    <cellStyle name="Border" xfId="38" xr:uid="{00000000-0005-0000-0000-000025000000}"/>
    <cellStyle name="Calc Currency (0)" xfId="39" xr:uid="{00000000-0005-0000-0000-000026000000}"/>
    <cellStyle name="category" xfId="40" xr:uid="{00000000-0005-0000-0000-000027000000}"/>
    <cellStyle name="Comma [0]_CCOCPX" xfId="41" xr:uid="{00000000-0005-0000-0000-000028000000}"/>
    <cellStyle name="Comma_Capex" xfId="42" xr:uid="{00000000-0005-0000-0000-000029000000}"/>
    <cellStyle name="Currency [0]_CCOCPX" xfId="43" xr:uid="{00000000-0005-0000-0000-00002A000000}"/>
    <cellStyle name="Currency_CCOCPX" xfId="44" xr:uid="{00000000-0005-0000-0000-00002B000000}"/>
    <cellStyle name="Grey" xfId="45" xr:uid="{00000000-0005-0000-0000-00002C000000}"/>
    <cellStyle name="HEADER" xfId="46" xr:uid="{00000000-0005-0000-0000-00002D000000}"/>
    <cellStyle name="Header1" xfId="47" xr:uid="{00000000-0005-0000-0000-00002E000000}"/>
    <cellStyle name="Header2" xfId="48" xr:uid="{00000000-0005-0000-0000-00002F000000}"/>
    <cellStyle name="Input [yellow]" xfId="49" xr:uid="{00000000-0005-0000-0000-000030000000}"/>
    <cellStyle name="Model" xfId="50" xr:uid="{00000000-0005-0000-0000-000031000000}"/>
    <cellStyle name="Normal - Style1" xfId="51" xr:uid="{00000000-0005-0000-0000-000032000000}"/>
    <cellStyle name="Normal - Style1 2" xfId="52" xr:uid="{00000000-0005-0000-0000-000033000000}"/>
    <cellStyle name="Normal - Style1_001_【画面レイアウト】受発注・受注登録画面（ユーザ提示用）" xfId="53" xr:uid="{00000000-0005-0000-0000-000034000000}"/>
    <cellStyle name="Normal_#18-Internet" xfId="54" xr:uid="{00000000-0005-0000-0000-000035000000}"/>
    <cellStyle name="Percent [2]" xfId="55" xr:uid="{00000000-0005-0000-0000-000036000000}"/>
    <cellStyle name="PSChar" xfId="56" xr:uid="{00000000-0005-0000-0000-000037000000}"/>
    <cellStyle name="PSHeading" xfId="57" xr:uid="{00000000-0005-0000-0000-000038000000}"/>
    <cellStyle name="quest" xfId="58" xr:uid="{00000000-0005-0000-0000-000039000000}"/>
    <cellStyle name="subhead" xfId="59" xr:uid="{00000000-0005-0000-0000-00003A000000}"/>
    <cellStyle name="umeda" xfId="60" xr:uid="{00000000-0005-0000-0000-00003B000000}"/>
    <cellStyle name="アクセント 1 2" xfId="61" xr:uid="{00000000-0005-0000-0000-00003C000000}"/>
    <cellStyle name="アクセント 1 3" xfId="62" xr:uid="{00000000-0005-0000-0000-00003D000000}"/>
    <cellStyle name="アクセント 2 2" xfId="63" xr:uid="{00000000-0005-0000-0000-00003E000000}"/>
    <cellStyle name="アクセント 2 3" xfId="64" xr:uid="{00000000-0005-0000-0000-00003F000000}"/>
    <cellStyle name="アクセント 3 2" xfId="65" xr:uid="{00000000-0005-0000-0000-000040000000}"/>
    <cellStyle name="アクセント 3 3" xfId="66" xr:uid="{00000000-0005-0000-0000-000041000000}"/>
    <cellStyle name="アクセント 4 2" xfId="67" xr:uid="{00000000-0005-0000-0000-000042000000}"/>
    <cellStyle name="アクセント 4 3" xfId="68" xr:uid="{00000000-0005-0000-0000-000043000000}"/>
    <cellStyle name="アクセント 5 2" xfId="69" xr:uid="{00000000-0005-0000-0000-000044000000}"/>
    <cellStyle name="アクセント 5 3" xfId="70" xr:uid="{00000000-0005-0000-0000-000045000000}"/>
    <cellStyle name="アクセント 6 2" xfId="71" xr:uid="{00000000-0005-0000-0000-000046000000}"/>
    <cellStyle name="アクセント 6 3" xfId="72" xr:uid="{00000000-0005-0000-0000-000047000000}"/>
    <cellStyle name="タイトル 2" xfId="73" xr:uid="{00000000-0005-0000-0000-000048000000}"/>
    <cellStyle name="タイトル 3" xfId="74" xr:uid="{00000000-0005-0000-0000-000049000000}"/>
    <cellStyle name="チェック セル 2" xfId="75" xr:uid="{00000000-0005-0000-0000-00004A000000}"/>
    <cellStyle name="チェック セル 3" xfId="76" xr:uid="{00000000-0005-0000-0000-00004B000000}"/>
    <cellStyle name="どちらでもない 2" xfId="77" xr:uid="{00000000-0005-0000-0000-00004C000000}"/>
    <cellStyle name="どちらでもない 3" xfId="78" xr:uid="{00000000-0005-0000-0000-00004D000000}"/>
    <cellStyle name="パーセント 2" xfId="129" xr:uid="{8280C438-1AB7-478F-9305-5196EBE7F61D}"/>
    <cellStyle name="メモ 2" xfId="79" xr:uid="{00000000-0005-0000-0000-00004E000000}"/>
    <cellStyle name="メモ 3" xfId="80" xr:uid="{00000000-0005-0000-0000-00004F000000}"/>
    <cellStyle name="リンク セル 2" xfId="81" xr:uid="{00000000-0005-0000-0000-000050000000}"/>
    <cellStyle name="リンク セル 3" xfId="82" xr:uid="{00000000-0005-0000-0000-000051000000}"/>
    <cellStyle name="悪い 2" xfId="83" xr:uid="{00000000-0005-0000-0000-000052000000}"/>
    <cellStyle name="悪い 3" xfId="84" xr:uid="{00000000-0005-0000-0000-000053000000}"/>
    <cellStyle name="計算 2" xfId="85" xr:uid="{00000000-0005-0000-0000-000054000000}"/>
    <cellStyle name="計算 3" xfId="86" xr:uid="{00000000-0005-0000-0000-000055000000}"/>
    <cellStyle name="警告文 2" xfId="87" xr:uid="{00000000-0005-0000-0000-000056000000}"/>
    <cellStyle name="警告文 3" xfId="88" xr:uid="{00000000-0005-0000-0000-000057000000}"/>
    <cellStyle name="見出し 1 2" xfId="89" xr:uid="{00000000-0005-0000-0000-000058000000}"/>
    <cellStyle name="見出し 1 3" xfId="90" xr:uid="{00000000-0005-0000-0000-000059000000}"/>
    <cellStyle name="見出し 2 2" xfId="91" xr:uid="{00000000-0005-0000-0000-00005A000000}"/>
    <cellStyle name="見出し 2 3" xfId="92" xr:uid="{00000000-0005-0000-0000-00005B000000}"/>
    <cellStyle name="見出し 3 2" xfId="93" xr:uid="{00000000-0005-0000-0000-00005C000000}"/>
    <cellStyle name="見出し 3 3" xfId="94" xr:uid="{00000000-0005-0000-0000-00005D000000}"/>
    <cellStyle name="見出し 4 2" xfId="95" xr:uid="{00000000-0005-0000-0000-00005E000000}"/>
    <cellStyle name="見出し 4 3" xfId="96" xr:uid="{00000000-0005-0000-0000-00005F000000}"/>
    <cellStyle name="集計 2" xfId="97" xr:uid="{00000000-0005-0000-0000-000060000000}"/>
    <cellStyle name="集計 3" xfId="98" xr:uid="{00000000-0005-0000-0000-000061000000}"/>
    <cellStyle name="出力 2" xfId="99" xr:uid="{00000000-0005-0000-0000-000062000000}"/>
    <cellStyle name="出力 3" xfId="100" xr:uid="{00000000-0005-0000-0000-000063000000}"/>
    <cellStyle name="説明文 2" xfId="101" xr:uid="{00000000-0005-0000-0000-000064000000}"/>
    <cellStyle name="説明文 3" xfId="102" xr:uid="{00000000-0005-0000-0000-000065000000}"/>
    <cellStyle name="追加スタイル（梅田）" xfId="103" xr:uid="{00000000-0005-0000-0000-000066000000}"/>
    <cellStyle name="入力 2" xfId="104" xr:uid="{00000000-0005-0000-0000-000067000000}"/>
    <cellStyle name="入力 3" xfId="105" xr:uid="{00000000-0005-0000-0000-000068000000}"/>
    <cellStyle name="標準" xfId="0" builtinId="0"/>
    <cellStyle name="標準 2" xfId="106" xr:uid="{00000000-0005-0000-0000-00006A000000}"/>
    <cellStyle name="標準 2 2" xfId="131" xr:uid="{A83C28B4-336B-41A4-BE2D-0C61406A3651}"/>
    <cellStyle name="標準 3" xfId="107" xr:uid="{00000000-0005-0000-0000-00006B000000}"/>
    <cellStyle name="標準 3 2" xfId="126" xr:uid="{D5DDE0B4-2D27-4635-875F-069E5CAF4BA7}"/>
    <cellStyle name="標準 4" xfId="128" xr:uid="{16B04D87-7E03-4F81-B0D8-CF50D5BB2C61}"/>
    <cellStyle name="標準 4 2" xfId="125" xr:uid="{2CAC4627-D577-4372-B290-CC30CC59EF4E}"/>
    <cellStyle name="標準 4 2 2" xfId="127" xr:uid="{2545D5C4-F00D-4918-9AEF-391F2E6CFA05}"/>
    <cellStyle name="標準 7" xfId="130" xr:uid="{F658835D-6509-4687-8382-07562AB1418A}"/>
    <cellStyle name="標準_05_単体テスト仕様書フォーマット" xfId="108" xr:uid="{00000000-0005-0000-0000-00006D000000}"/>
    <cellStyle name="標準_単体テスト仕様書Sample(PContBL)" xfId="109" xr:uid="{00000000-0005-0000-0000-00006E000000}"/>
    <cellStyle name="標準_値リスト" xfId="110" xr:uid="{00000000-0005-0000-0000-00006F000000}"/>
    <cellStyle name="標準仕様書" xfId="111" xr:uid="{00000000-0005-0000-0000-000070000000}"/>
    <cellStyle name="未定義" xfId="112" xr:uid="{00000000-0005-0000-0000-000071000000}"/>
    <cellStyle name="良い 2" xfId="113" xr:uid="{00000000-0005-0000-0000-000072000000}"/>
    <cellStyle name="良い 3" xfId="114" xr:uid="{00000000-0005-0000-0000-000073000000}"/>
    <cellStyle name="㼿" xfId="115" xr:uid="{00000000-0005-0000-0000-000074000000}"/>
    <cellStyle name="㼿?" xfId="116" xr:uid="{00000000-0005-0000-0000-000075000000}"/>
    <cellStyle name="㼿㼿" xfId="117" xr:uid="{00000000-0005-0000-0000-000076000000}"/>
    <cellStyle name="㼿㼿?" xfId="118" xr:uid="{00000000-0005-0000-0000-000077000000}"/>
    <cellStyle name="㼿㼿㼿" xfId="119" xr:uid="{00000000-0005-0000-0000-000078000000}"/>
    <cellStyle name="㼿㼿㼿?" xfId="120" xr:uid="{00000000-0005-0000-0000-000079000000}"/>
    <cellStyle name="㼿㼿㼿㼿" xfId="121" xr:uid="{00000000-0005-0000-0000-00007A000000}"/>
    <cellStyle name="㼿㼿㼿㼿?" xfId="122" xr:uid="{00000000-0005-0000-0000-00007B000000}"/>
    <cellStyle name="㼿㼿㼿㼿㼿㼿?" xfId="123" xr:uid="{00000000-0005-0000-0000-00007C000000}"/>
    <cellStyle name="㼿㼿㼿㼿㼿㼿㼿?" xfId="124" xr:uid="{00000000-0005-0000-0000-00007D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bg1"/>
        </a:solidFill>
        <a:ln>
          <a:solidFill>
            <a:srgbClr val="FF0000"/>
          </a:solidFill>
        </a:ln>
      </a:spPr>
      <a:bodyPr vertOverflow="clip" horzOverflow="clip" rtlCol="0" anchor="t"/>
      <a:lstStyle>
        <a:defPPr algn="l">
          <a:defRPr kumimoji="1" sz="1100" kern="1200">
            <a:solidFill>
              <a:schemeClr val="tx1"/>
            </a:solidFill>
          </a:defRPr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W27"/>
  <sheetViews>
    <sheetView tabSelected="1" zoomScaleNormal="100" workbookViewId="0"/>
  </sheetViews>
  <sheetFormatPr defaultColWidth="3" defaultRowHeight="13.5" x14ac:dyDescent="0.15"/>
  <cols>
    <col min="1" max="55" width="3" style="8"/>
    <col min="56" max="56" width="4.625" style="8" bestFit="1" customWidth="1"/>
    <col min="57" max="58" width="3" style="8"/>
    <col min="59" max="59" width="4.625" style="8" bestFit="1" customWidth="1"/>
    <col min="60" max="16384" width="3" style="8"/>
  </cols>
  <sheetData>
    <row r="1" spans="1:49" x14ac:dyDescent="0.15">
      <c r="AQ1" s="30" t="s">
        <v>0</v>
      </c>
    </row>
    <row r="2" spans="1:49" x14ac:dyDescent="0.15">
      <c r="AQ2" s="30"/>
    </row>
    <row r="3" spans="1:49" ht="14.25" thickBot="1" x14ac:dyDescent="0.2"/>
    <row r="4" spans="1:49" ht="13.15" customHeight="1" x14ac:dyDescent="0.15">
      <c r="A4" s="112" t="s">
        <v>48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3"/>
      <c r="AQ4" s="113"/>
      <c r="AR4" s="113"/>
      <c r="AS4" s="113"/>
      <c r="AT4" s="113"/>
      <c r="AU4" s="113"/>
      <c r="AV4" s="113"/>
      <c r="AW4" s="114"/>
    </row>
    <row r="5" spans="1:49" ht="13.15" customHeight="1" x14ac:dyDescent="0.15">
      <c r="A5" s="115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6"/>
      <c r="AQ5" s="116"/>
      <c r="AR5" s="116"/>
      <c r="AS5" s="116"/>
      <c r="AT5" s="116"/>
      <c r="AU5" s="116"/>
      <c r="AV5" s="116"/>
      <c r="AW5" s="117"/>
    </row>
    <row r="6" spans="1:49" ht="13.15" customHeight="1" x14ac:dyDescent="0.15">
      <c r="A6" s="115"/>
      <c r="B6" s="116"/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  <c r="AL6" s="116"/>
      <c r="AM6" s="116"/>
      <c r="AN6" s="116"/>
      <c r="AO6" s="116"/>
      <c r="AP6" s="116"/>
      <c r="AQ6" s="116"/>
      <c r="AR6" s="116"/>
      <c r="AS6" s="116"/>
      <c r="AT6" s="116"/>
      <c r="AU6" s="116"/>
      <c r="AV6" s="116"/>
      <c r="AW6" s="117"/>
    </row>
    <row r="7" spans="1:49" ht="13.15" customHeight="1" x14ac:dyDescent="0.15">
      <c r="A7" s="115"/>
      <c r="B7" s="116"/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116"/>
      <c r="AB7" s="116"/>
      <c r="AC7" s="116"/>
      <c r="AD7" s="116"/>
      <c r="AE7" s="116"/>
      <c r="AF7" s="116"/>
      <c r="AG7" s="116"/>
      <c r="AH7" s="116"/>
      <c r="AI7" s="116"/>
      <c r="AJ7" s="116"/>
      <c r="AK7" s="116"/>
      <c r="AL7" s="116"/>
      <c r="AM7" s="116"/>
      <c r="AN7" s="116"/>
      <c r="AO7" s="116"/>
      <c r="AP7" s="116"/>
      <c r="AQ7" s="116"/>
      <c r="AR7" s="116"/>
      <c r="AS7" s="116"/>
      <c r="AT7" s="116"/>
      <c r="AU7" s="116"/>
      <c r="AV7" s="116"/>
      <c r="AW7" s="117"/>
    </row>
    <row r="8" spans="1:49" ht="13.15" customHeight="1" x14ac:dyDescent="0.15">
      <c r="A8" s="115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6"/>
      <c r="AG8" s="116"/>
      <c r="AH8" s="116"/>
      <c r="AI8" s="116"/>
      <c r="AJ8" s="116"/>
      <c r="AK8" s="116"/>
      <c r="AL8" s="116"/>
      <c r="AM8" s="116"/>
      <c r="AN8" s="116"/>
      <c r="AO8" s="116"/>
      <c r="AP8" s="116"/>
      <c r="AQ8" s="116"/>
      <c r="AR8" s="116"/>
      <c r="AS8" s="116"/>
      <c r="AT8" s="116"/>
      <c r="AU8" s="116"/>
      <c r="AV8" s="116"/>
      <c r="AW8" s="117"/>
    </row>
    <row r="9" spans="1:49" ht="13.15" customHeight="1" x14ac:dyDescent="0.15">
      <c r="A9" s="115"/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  <c r="AH9" s="116"/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116"/>
      <c r="AT9" s="116"/>
      <c r="AU9" s="116"/>
      <c r="AV9" s="116"/>
      <c r="AW9" s="117"/>
    </row>
    <row r="10" spans="1:49" ht="13.15" customHeight="1" x14ac:dyDescent="0.15">
      <c r="A10" s="115"/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116"/>
      <c r="AP10" s="116"/>
      <c r="AQ10" s="116"/>
      <c r="AR10" s="116"/>
      <c r="AS10" s="116"/>
      <c r="AT10" s="116"/>
      <c r="AU10" s="116"/>
      <c r="AV10" s="116"/>
      <c r="AW10" s="117"/>
    </row>
    <row r="11" spans="1:49" ht="13.9" customHeight="1" thickBot="1" x14ac:dyDescent="0.2">
      <c r="A11" s="118"/>
      <c r="B11" s="119"/>
      <c r="C11" s="119"/>
      <c r="D11" s="119"/>
      <c r="E11" s="119"/>
      <c r="F11" s="119"/>
      <c r="G11" s="119"/>
      <c r="H11" s="119"/>
      <c r="I11" s="119"/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  <c r="AK11" s="119"/>
      <c r="AL11" s="119"/>
      <c r="AM11" s="119"/>
      <c r="AN11" s="119"/>
      <c r="AO11" s="119"/>
      <c r="AP11" s="119"/>
      <c r="AQ11" s="119"/>
      <c r="AR11" s="119"/>
      <c r="AS11" s="119"/>
      <c r="AT11" s="119"/>
      <c r="AU11" s="119"/>
      <c r="AV11" s="119"/>
      <c r="AW11" s="120"/>
    </row>
    <row r="13" spans="1:49" ht="14.25" thickBot="1" x14ac:dyDescent="0.2"/>
    <row r="14" spans="1:49" ht="26.25" customHeight="1" x14ac:dyDescent="0.15">
      <c r="A14" s="121" t="s">
        <v>1</v>
      </c>
      <c r="B14" s="122"/>
      <c r="C14" s="122"/>
      <c r="D14" s="122"/>
      <c r="E14" s="122"/>
      <c r="F14" s="122"/>
      <c r="G14" s="123"/>
      <c r="H14" s="124" t="s">
        <v>49</v>
      </c>
      <c r="I14" s="125"/>
      <c r="J14" s="125"/>
      <c r="K14" s="125"/>
      <c r="L14" s="125"/>
      <c r="M14" s="125"/>
      <c r="N14" s="125"/>
      <c r="O14" s="125"/>
      <c r="P14" s="125"/>
      <c r="Q14" s="125"/>
      <c r="R14" s="125"/>
      <c r="S14" s="125"/>
      <c r="T14" s="125"/>
      <c r="U14" s="125"/>
      <c r="V14" s="125"/>
      <c r="W14" s="126"/>
      <c r="X14" s="121" t="s">
        <v>2</v>
      </c>
      <c r="Y14" s="122"/>
      <c r="Z14" s="122"/>
      <c r="AA14" s="122"/>
      <c r="AB14" s="122"/>
      <c r="AC14" s="123"/>
      <c r="AD14" s="124" t="s">
        <v>50</v>
      </c>
      <c r="AE14" s="125"/>
      <c r="AF14" s="125"/>
      <c r="AG14" s="125"/>
      <c r="AH14" s="125"/>
      <c r="AI14" s="125"/>
      <c r="AJ14" s="125"/>
      <c r="AK14" s="125"/>
      <c r="AL14" s="125"/>
      <c r="AM14" s="125"/>
      <c r="AN14" s="125"/>
      <c r="AO14" s="125"/>
      <c r="AP14" s="125"/>
      <c r="AQ14" s="125"/>
      <c r="AR14" s="125"/>
      <c r="AS14" s="125"/>
      <c r="AT14" s="125"/>
      <c r="AU14" s="125"/>
      <c r="AV14" s="125"/>
      <c r="AW14" s="126"/>
    </row>
    <row r="15" spans="1:49" ht="26.25" customHeight="1" x14ac:dyDescent="0.15">
      <c r="A15" s="109" t="s">
        <v>3</v>
      </c>
      <c r="B15" s="110"/>
      <c r="C15" s="110"/>
      <c r="D15" s="110"/>
      <c r="E15" s="110"/>
      <c r="F15" s="110"/>
      <c r="G15" s="111"/>
      <c r="H15" s="102" t="s">
        <v>49</v>
      </c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4"/>
      <c r="X15" s="109" t="s">
        <v>4</v>
      </c>
      <c r="Y15" s="110"/>
      <c r="Z15" s="110"/>
      <c r="AA15" s="110"/>
      <c r="AB15" s="110"/>
      <c r="AC15" s="111"/>
      <c r="AD15" s="102" t="s">
        <v>51</v>
      </c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03"/>
      <c r="AT15" s="103"/>
      <c r="AU15" s="103"/>
      <c r="AV15" s="103"/>
      <c r="AW15" s="104"/>
    </row>
    <row r="16" spans="1:49" ht="26.25" customHeight="1" x14ac:dyDescent="0.15">
      <c r="A16" s="99" t="s">
        <v>5</v>
      </c>
      <c r="B16" s="100"/>
      <c r="C16" s="100"/>
      <c r="D16" s="100"/>
      <c r="E16" s="100"/>
      <c r="F16" s="100"/>
      <c r="G16" s="101"/>
      <c r="H16" s="102" t="s">
        <v>49</v>
      </c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4"/>
      <c r="X16" s="99" t="s">
        <v>6</v>
      </c>
      <c r="Y16" s="100"/>
      <c r="Z16" s="100"/>
      <c r="AA16" s="100"/>
      <c r="AB16" s="100"/>
      <c r="AC16" s="101"/>
      <c r="AD16" s="102" t="s">
        <v>52</v>
      </c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103"/>
      <c r="AW16" s="104"/>
    </row>
    <row r="17" spans="1:49" ht="26.25" customHeight="1" x14ac:dyDescent="0.15">
      <c r="A17" s="99" t="s">
        <v>7</v>
      </c>
      <c r="B17" s="100"/>
      <c r="C17" s="100"/>
      <c r="D17" s="100"/>
      <c r="E17" s="100"/>
      <c r="F17" s="100"/>
      <c r="G17" s="101"/>
      <c r="H17" s="102" t="s">
        <v>120</v>
      </c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4"/>
      <c r="X17" s="99" t="s">
        <v>8</v>
      </c>
      <c r="Y17" s="100"/>
      <c r="Z17" s="100"/>
      <c r="AA17" s="100"/>
      <c r="AB17" s="100"/>
      <c r="AC17" s="101"/>
      <c r="AD17" s="102" t="s">
        <v>119</v>
      </c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3"/>
      <c r="AQ17" s="103"/>
      <c r="AR17" s="103"/>
      <c r="AS17" s="103"/>
      <c r="AT17" s="103"/>
      <c r="AU17" s="103"/>
      <c r="AV17" s="103"/>
      <c r="AW17" s="104"/>
    </row>
    <row r="18" spans="1:49" ht="26.25" customHeight="1" x14ac:dyDescent="0.15">
      <c r="A18" s="99" t="s">
        <v>9</v>
      </c>
      <c r="B18" s="100"/>
      <c r="C18" s="100"/>
      <c r="D18" s="100"/>
      <c r="E18" s="100"/>
      <c r="F18" s="100"/>
      <c r="G18" s="101"/>
      <c r="H18" s="102" t="s">
        <v>49</v>
      </c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4"/>
      <c r="X18" s="99" t="s">
        <v>10</v>
      </c>
      <c r="Y18" s="100"/>
      <c r="Z18" s="100"/>
      <c r="AA18" s="100"/>
      <c r="AB18" s="100"/>
      <c r="AC18" s="101"/>
      <c r="AD18" s="102" t="s">
        <v>52</v>
      </c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3"/>
      <c r="AQ18" s="103"/>
      <c r="AR18" s="103"/>
      <c r="AS18" s="103"/>
      <c r="AT18" s="103"/>
      <c r="AU18" s="103"/>
      <c r="AV18" s="103"/>
      <c r="AW18" s="104"/>
    </row>
    <row r="19" spans="1:49" ht="26.25" customHeight="1" x14ac:dyDescent="0.15">
      <c r="A19" s="99" t="s">
        <v>11</v>
      </c>
      <c r="B19" s="100"/>
      <c r="C19" s="100"/>
      <c r="D19" s="100"/>
      <c r="E19" s="100"/>
      <c r="F19" s="100"/>
      <c r="G19" s="101"/>
      <c r="H19" s="105" t="s">
        <v>117</v>
      </c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7"/>
      <c r="X19" s="99" t="s">
        <v>12</v>
      </c>
      <c r="Y19" s="100"/>
      <c r="Z19" s="100"/>
      <c r="AA19" s="100"/>
      <c r="AB19" s="100"/>
      <c r="AC19" s="101"/>
      <c r="AD19" s="108" t="s">
        <v>118</v>
      </c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3"/>
      <c r="AQ19" s="103"/>
      <c r="AR19" s="103"/>
      <c r="AS19" s="103"/>
      <c r="AT19" s="103"/>
      <c r="AU19" s="103"/>
      <c r="AV19" s="103"/>
      <c r="AW19" s="104"/>
    </row>
    <row r="20" spans="1:49" ht="26.25" customHeight="1" thickBot="1" x14ac:dyDescent="0.2">
      <c r="A20" s="88" t="s">
        <v>13</v>
      </c>
      <c r="B20" s="89"/>
      <c r="C20" s="89"/>
      <c r="D20" s="89"/>
      <c r="E20" s="89"/>
      <c r="F20" s="89"/>
      <c r="G20" s="90"/>
      <c r="H20" s="91" t="s">
        <v>54</v>
      </c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3"/>
      <c r="X20" s="88" t="s">
        <v>14</v>
      </c>
      <c r="Y20" s="89"/>
      <c r="Z20" s="89"/>
      <c r="AA20" s="89"/>
      <c r="AB20" s="89"/>
      <c r="AC20" s="90"/>
      <c r="AD20" s="94" t="s">
        <v>53</v>
      </c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6"/>
    </row>
    <row r="21" spans="1:49" ht="26.25" customHeight="1" x14ac:dyDescent="0.15">
      <c r="A21" s="97"/>
      <c r="B21" s="97"/>
      <c r="C21" s="97"/>
      <c r="D21" s="97"/>
      <c r="E21" s="97"/>
      <c r="F21" s="97"/>
      <c r="G21" s="97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7"/>
      <c r="Y21" s="97"/>
      <c r="Z21" s="97"/>
      <c r="AA21" s="97"/>
      <c r="AB21" s="97"/>
      <c r="AC21" s="97"/>
      <c r="AD21" s="9"/>
      <c r="AE21" s="9"/>
      <c r="AF21" s="9"/>
      <c r="AG21" s="9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</row>
    <row r="22" spans="1:49" ht="26.25" customHeight="1" x14ac:dyDescent="0.15">
      <c r="A22" s="31"/>
      <c r="B22" s="31"/>
      <c r="C22" s="31"/>
      <c r="D22" s="31"/>
      <c r="E22" s="31"/>
      <c r="F22" s="31"/>
      <c r="G22" s="31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31"/>
      <c r="Y22" s="31"/>
      <c r="Z22" s="31"/>
      <c r="AA22" s="31"/>
      <c r="AB22" s="31"/>
      <c r="AC22" s="31"/>
      <c r="AD22" s="9"/>
      <c r="AE22" s="9"/>
      <c r="AF22" s="9"/>
      <c r="AG22" s="9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</row>
    <row r="23" spans="1:49" ht="26.25" customHeight="1" x14ac:dyDescent="0.15">
      <c r="A23" s="31"/>
      <c r="B23" s="31"/>
      <c r="C23" s="31"/>
      <c r="D23" s="31"/>
      <c r="E23" s="31"/>
      <c r="F23" s="31"/>
      <c r="G23" s="31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31"/>
      <c r="Y23" s="31"/>
      <c r="Z23" s="31"/>
      <c r="AA23" s="31"/>
      <c r="AB23" s="31"/>
      <c r="AC23" s="31"/>
      <c r="AD23" s="9"/>
      <c r="AE23" s="9"/>
      <c r="AF23" s="9"/>
      <c r="AG23" s="9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</row>
    <row r="25" spans="1:49" ht="15" thickBot="1" x14ac:dyDescent="0.2">
      <c r="L25" s="11" t="s">
        <v>15</v>
      </c>
    </row>
    <row r="26" spans="1:49" ht="27" customHeight="1" x14ac:dyDescent="0.15">
      <c r="E26" s="98"/>
      <c r="F26" s="98"/>
      <c r="G26" s="98"/>
      <c r="H26" s="98"/>
      <c r="I26" s="98"/>
      <c r="J26" s="98"/>
      <c r="K26" s="98"/>
      <c r="L26" s="85"/>
      <c r="M26" s="86"/>
      <c r="N26" s="86"/>
      <c r="O26" s="86"/>
      <c r="P26" s="87"/>
      <c r="Q26" s="86"/>
      <c r="R26" s="86"/>
      <c r="S26" s="86"/>
      <c r="T26" s="86"/>
      <c r="U26" s="87"/>
      <c r="V26" s="85"/>
      <c r="W26" s="86"/>
      <c r="X26" s="86"/>
      <c r="Y26" s="86"/>
      <c r="Z26" s="87"/>
      <c r="AA26" s="85"/>
      <c r="AB26" s="86"/>
      <c r="AC26" s="86"/>
      <c r="AD26" s="86"/>
      <c r="AE26" s="87"/>
      <c r="AF26" s="85"/>
      <c r="AG26" s="86"/>
      <c r="AH26" s="86"/>
      <c r="AI26" s="86"/>
      <c r="AJ26" s="87"/>
    </row>
    <row r="27" spans="1:49" ht="78" customHeight="1" thickBot="1" x14ac:dyDescent="0.2">
      <c r="E27" s="12"/>
      <c r="F27" s="12"/>
      <c r="G27" s="12"/>
      <c r="H27" s="13"/>
      <c r="I27" s="12"/>
      <c r="J27" s="12"/>
      <c r="K27" s="12"/>
      <c r="L27" s="82" t="s">
        <v>16</v>
      </c>
      <c r="M27" s="83"/>
      <c r="N27" s="83"/>
      <c r="O27" s="83"/>
      <c r="P27" s="84"/>
      <c r="Q27" s="82" t="s">
        <v>16</v>
      </c>
      <c r="R27" s="83"/>
      <c r="S27" s="83"/>
      <c r="T27" s="83"/>
      <c r="U27" s="84"/>
      <c r="V27" s="82" t="s">
        <v>16</v>
      </c>
      <c r="W27" s="83"/>
      <c r="X27" s="83"/>
      <c r="Y27" s="83"/>
      <c r="Z27" s="84"/>
      <c r="AA27" s="82" t="s">
        <v>16</v>
      </c>
      <c r="AB27" s="83"/>
      <c r="AC27" s="83"/>
      <c r="AD27" s="83"/>
      <c r="AE27" s="84"/>
      <c r="AF27" s="82" t="s">
        <v>16</v>
      </c>
      <c r="AG27" s="83"/>
      <c r="AH27" s="83"/>
      <c r="AI27" s="83"/>
      <c r="AJ27" s="84"/>
    </row>
  </sheetData>
  <mergeCells count="42">
    <mergeCell ref="A15:G15"/>
    <mergeCell ref="H15:W15"/>
    <mergeCell ref="X15:AC15"/>
    <mergeCell ref="AD15:AW15"/>
    <mergeCell ref="A4:AW11"/>
    <mergeCell ref="A14:G14"/>
    <mergeCell ref="H14:W14"/>
    <mergeCell ref="X14:AC14"/>
    <mergeCell ref="AD14:AW14"/>
    <mergeCell ref="A16:G16"/>
    <mergeCell ref="H16:W16"/>
    <mergeCell ref="X16:AC16"/>
    <mergeCell ref="AD16:AW16"/>
    <mergeCell ref="A17:G17"/>
    <mergeCell ref="H17:W17"/>
    <mergeCell ref="X17:AC17"/>
    <mergeCell ref="AD17:AW17"/>
    <mergeCell ref="A18:G18"/>
    <mergeCell ref="H18:W18"/>
    <mergeCell ref="X18:AC18"/>
    <mergeCell ref="AD18:AW18"/>
    <mergeCell ref="A19:G19"/>
    <mergeCell ref="H19:W19"/>
    <mergeCell ref="X19:AC19"/>
    <mergeCell ref="AD19:AW19"/>
    <mergeCell ref="AF26:AJ26"/>
    <mergeCell ref="A20:G20"/>
    <mergeCell ref="H20:W20"/>
    <mergeCell ref="X20:AC20"/>
    <mergeCell ref="AD20:AW20"/>
    <mergeCell ref="A21:G21"/>
    <mergeCell ref="X21:AC21"/>
    <mergeCell ref="E26:K26"/>
    <mergeCell ref="L26:P26"/>
    <mergeCell ref="Q26:U26"/>
    <mergeCell ref="V26:Z26"/>
    <mergeCell ref="AA26:AE26"/>
    <mergeCell ref="L27:P27"/>
    <mergeCell ref="Q27:U27"/>
    <mergeCell ref="V27:Z27"/>
    <mergeCell ref="AA27:AE27"/>
    <mergeCell ref="AF27:AJ27"/>
  </mergeCells>
  <phoneticPr fontId="5"/>
  <printOptions horizontalCentered="1" verticalCentered="1"/>
  <pageMargins left="0.27559055118110237" right="0.27559055118110237" top="0.59055118110236227" bottom="0.39370078740157483" header="0.39370078740157483" footer="0.19685039370078741"/>
  <pageSetup paperSize="9" scale="92" fitToHeight="0" orientation="landscape" r:id="rId1"/>
  <headerFooter alignWithMargins="0">
    <oddFooter>&amp;L&amp;"ＭＳ Ｐゴシック,標準"&amp;9（ES0402-F01_単体テスト仕様書兼結果報告書 20161003 Ver.1.2）&amp;C&amp;"ＭＳ Ｐゴシック,標準"&amp;9&amp;P / &amp;N&amp;R&amp;"ＭＳ Ｐゴシック,標準"&amp;9Copyright© 2013 SCSK Corporation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EX21"/>
  <sheetViews>
    <sheetView zoomScaleNormal="100" workbookViewId="0"/>
  </sheetViews>
  <sheetFormatPr defaultColWidth="5" defaultRowHeight="15" customHeight="1" x14ac:dyDescent="0.15"/>
  <cols>
    <col min="1" max="1" width="5" style="15" customWidth="1"/>
    <col min="2" max="2" width="10.25" style="29" customWidth="1"/>
    <col min="3" max="3" width="33.75" style="15" customWidth="1"/>
    <col min="4" max="4" width="58.25" style="15" customWidth="1"/>
    <col min="5" max="5" width="21.25" style="15" customWidth="1"/>
    <col min="6" max="8" width="11.75" style="15" customWidth="1"/>
    <col min="9" max="16384" width="5" style="15"/>
  </cols>
  <sheetData>
    <row r="1" spans="1:154" ht="30" customHeight="1" x14ac:dyDescent="0.15">
      <c r="A1" s="28" t="s">
        <v>17</v>
      </c>
      <c r="B1" s="28" t="s">
        <v>18</v>
      </c>
      <c r="C1" s="28" t="s">
        <v>19</v>
      </c>
      <c r="D1" s="28" t="s">
        <v>20</v>
      </c>
      <c r="E1" s="25" t="s">
        <v>21</v>
      </c>
      <c r="F1" s="25" t="s">
        <v>22</v>
      </c>
      <c r="G1" s="25" t="s">
        <v>23</v>
      </c>
      <c r="H1" s="25" t="s">
        <v>24</v>
      </c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spans="1:154" ht="15" customHeight="1" x14ac:dyDescent="0.15">
      <c r="A2" s="127">
        <f>ROW()-1</f>
        <v>1</v>
      </c>
      <c r="B2" s="129"/>
      <c r="C2" s="131"/>
      <c r="D2" s="131"/>
      <c r="E2" s="129"/>
      <c r="F2" s="32"/>
      <c r="G2" s="32"/>
      <c r="H2" s="32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4"/>
      <c r="EF2" s="14"/>
      <c r="EG2" s="14"/>
      <c r="EH2" s="14"/>
      <c r="EI2" s="14"/>
      <c r="EJ2" s="14"/>
      <c r="EK2" s="14"/>
      <c r="EL2" s="14"/>
      <c r="EM2" s="14"/>
      <c r="EN2" s="14"/>
      <c r="EO2" s="14"/>
      <c r="EP2" s="14"/>
      <c r="EQ2" s="14"/>
      <c r="ER2" s="14"/>
      <c r="ES2" s="14"/>
      <c r="ET2" s="14"/>
      <c r="EU2" s="14"/>
      <c r="EV2" s="14"/>
      <c r="EW2" s="14"/>
      <c r="EX2" s="14"/>
    </row>
    <row r="3" spans="1:154" ht="15" customHeight="1" x14ac:dyDescent="0.15">
      <c r="A3" s="128"/>
      <c r="B3" s="130"/>
      <c r="C3" s="132"/>
      <c r="D3" s="132"/>
      <c r="E3" s="130"/>
      <c r="F3" s="33"/>
      <c r="G3" s="33"/>
      <c r="H3" s="33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</row>
    <row r="4" spans="1:154" ht="15" customHeight="1" x14ac:dyDescent="0.15">
      <c r="A4" s="127">
        <v>2</v>
      </c>
      <c r="B4" s="129"/>
      <c r="C4" s="131"/>
      <c r="D4" s="131"/>
      <c r="E4" s="129"/>
      <c r="F4" s="32"/>
      <c r="G4" s="32"/>
      <c r="H4" s="32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spans="1:154" ht="15" customHeight="1" x14ac:dyDescent="0.15">
      <c r="A5" s="128"/>
      <c r="B5" s="130"/>
      <c r="C5" s="132"/>
      <c r="D5" s="132"/>
      <c r="E5" s="130"/>
      <c r="F5" s="33"/>
      <c r="G5" s="33"/>
      <c r="H5" s="33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14"/>
    </row>
    <row r="6" spans="1:154" ht="15" customHeight="1" x14ac:dyDescent="0.15">
      <c r="A6" s="127">
        <v>3</v>
      </c>
      <c r="B6" s="129"/>
      <c r="C6" s="131"/>
      <c r="D6" s="131"/>
      <c r="E6" s="129"/>
      <c r="F6" s="32"/>
      <c r="G6" s="32"/>
      <c r="H6" s="32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4"/>
      <c r="EJ6" s="14"/>
      <c r="EK6" s="14"/>
      <c r="EL6" s="14"/>
      <c r="EM6" s="14"/>
      <c r="EN6" s="14"/>
      <c r="EO6" s="14"/>
      <c r="EP6" s="14"/>
      <c r="EQ6" s="14"/>
      <c r="ER6" s="14"/>
      <c r="ES6" s="14"/>
      <c r="ET6" s="14"/>
      <c r="EU6" s="14"/>
      <c r="EV6" s="14"/>
      <c r="EW6" s="14"/>
      <c r="EX6" s="14"/>
    </row>
    <row r="7" spans="1:154" ht="15" customHeight="1" x14ac:dyDescent="0.15">
      <c r="A7" s="128"/>
      <c r="B7" s="130"/>
      <c r="C7" s="132"/>
      <c r="D7" s="132"/>
      <c r="E7" s="130"/>
      <c r="F7" s="33"/>
      <c r="G7" s="33"/>
      <c r="H7" s="33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R7" s="14"/>
      <c r="ES7" s="14"/>
      <c r="ET7" s="14"/>
      <c r="EU7" s="14"/>
      <c r="EV7" s="14"/>
      <c r="EW7" s="14"/>
      <c r="EX7" s="14"/>
    </row>
    <row r="8" spans="1:154" ht="15" customHeight="1" x14ac:dyDescent="0.15">
      <c r="A8" s="127">
        <v>4</v>
      </c>
      <c r="B8" s="129"/>
      <c r="C8" s="131"/>
      <c r="D8" s="131"/>
      <c r="E8" s="129"/>
      <c r="F8" s="32"/>
      <c r="G8" s="32"/>
      <c r="H8" s="32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</row>
    <row r="9" spans="1:154" ht="15" customHeight="1" x14ac:dyDescent="0.15">
      <c r="A9" s="128"/>
      <c r="B9" s="130"/>
      <c r="C9" s="132"/>
      <c r="D9" s="132"/>
      <c r="E9" s="130"/>
      <c r="F9" s="33"/>
      <c r="G9" s="33"/>
      <c r="H9" s="33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</row>
    <row r="10" spans="1:154" ht="15" customHeight="1" x14ac:dyDescent="0.15">
      <c r="A10" s="127">
        <v>5</v>
      </c>
      <c r="B10" s="129"/>
      <c r="C10" s="131"/>
      <c r="D10" s="131"/>
      <c r="E10" s="129"/>
      <c r="F10" s="32"/>
      <c r="G10" s="32"/>
      <c r="H10" s="32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/>
      <c r="EI10" s="14"/>
      <c r="EJ10" s="14"/>
      <c r="EK10" s="14"/>
      <c r="EL10" s="14"/>
      <c r="EM10" s="14"/>
      <c r="EN10" s="14"/>
      <c r="EO10" s="14"/>
      <c r="EP10" s="14"/>
      <c r="EQ10" s="14"/>
      <c r="ER10" s="14"/>
      <c r="ES10" s="14"/>
      <c r="ET10" s="14"/>
      <c r="EU10" s="14"/>
      <c r="EV10" s="14"/>
      <c r="EW10" s="14"/>
      <c r="EX10" s="14"/>
    </row>
    <row r="11" spans="1:154" ht="15" customHeight="1" x14ac:dyDescent="0.15">
      <c r="A11" s="128"/>
      <c r="B11" s="130"/>
      <c r="C11" s="132"/>
      <c r="D11" s="132"/>
      <c r="E11" s="130"/>
      <c r="F11" s="33"/>
      <c r="G11" s="33"/>
      <c r="H11" s="33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  <c r="DP11" s="14"/>
      <c r="DQ11" s="14"/>
      <c r="DR11" s="14"/>
      <c r="DS11" s="14"/>
      <c r="DT11" s="14"/>
      <c r="DU11" s="14"/>
      <c r="DV11" s="14"/>
      <c r="DW11" s="14"/>
      <c r="DX11" s="14"/>
      <c r="DY11" s="14"/>
      <c r="DZ11" s="14"/>
      <c r="EA11" s="14"/>
      <c r="EB11" s="14"/>
      <c r="EC11" s="14"/>
      <c r="ED11" s="14"/>
      <c r="EE11" s="14"/>
      <c r="EF11" s="14"/>
      <c r="EG11" s="14"/>
      <c r="EH11" s="14"/>
      <c r="EI11" s="14"/>
      <c r="EJ11" s="14"/>
      <c r="EK11" s="14"/>
      <c r="EL11" s="14"/>
      <c r="EM11" s="14"/>
      <c r="EN11" s="14"/>
      <c r="EO11" s="14"/>
      <c r="EP11" s="14"/>
      <c r="EQ11" s="14"/>
      <c r="ER11" s="14"/>
      <c r="ES11" s="14"/>
      <c r="ET11" s="14"/>
      <c r="EU11" s="14"/>
      <c r="EV11" s="14"/>
      <c r="EW11" s="14"/>
      <c r="EX11" s="14"/>
    </row>
    <row r="12" spans="1:154" ht="15" customHeight="1" x14ac:dyDescent="0.15">
      <c r="A12" s="127">
        <v>6</v>
      </c>
      <c r="B12" s="129"/>
      <c r="C12" s="131"/>
      <c r="D12" s="131"/>
      <c r="E12" s="129"/>
      <c r="F12" s="32"/>
      <c r="G12" s="32"/>
      <c r="H12" s="32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4"/>
      <c r="EJ12" s="14"/>
      <c r="EK12" s="14"/>
      <c r="EL12" s="14"/>
      <c r="EM12" s="14"/>
      <c r="EN12" s="14"/>
      <c r="EO12" s="14"/>
      <c r="EP12" s="14"/>
      <c r="EQ12" s="14"/>
      <c r="ER12" s="14"/>
      <c r="ES12" s="14"/>
      <c r="ET12" s="14"/>
      <c r="EU12" s="14"/>
      <c r="EV12" s="14"/>
      <c r="EW12" s="14"/>
      <c r="EX12" s="14"/>
    </row>
    <row r="13" spans="1:154" ht="15" customHeight="1" x14ac:dyDescent="0.15">
      <c r="A13" s="128"/>
      <c r="B13" s="130"/>
      <c r="C13" s="132"/>
      <c r="D13" s="132"/>
      <c r="E13" s="130"/>
      <c r="F13" s="33"/>
      <c r="G13" s="33"/>
      <c r="H13" s="33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4"/>
      <c r="ED13" s="14"/>
      <c r="EE13" s="14"/>
      <c r="EF13" s="14"/>
      <c r="EG13" s="14"/>
      <c r="EH13" s="14"/>
      <c r="EI13" s="14"/>
      <c r="EJ13" s="14"/>
      <c r="EK13" s="14"/>
      <c r="EL13" s="14"/>
      <c r="EM13" s="14"/>
      <c r="EN13" s="14"/>
      <c r="EO13" s="14"/>
      <c r="EP13" s="14"/>
      <c r="EQ13" s="14"/>
      <c r="ER13" s="14"/>
      <c r="ES13" s="14"/>
      <c r="ET13" s="14"/>
      <c r="EU13" s="14"/>
      <c r="EV13" s="14"/>
      <c r="EW13" s="14"/>
      <c r="EX13" s="14"/>
    </row>
    <row r="14" spans="1:154" ht="15" customHeight="1" x14ac:dyDescent="0.15">
      <c r="A14" s="127">
        <v>7</v>
      </c>
      <c r="B14" s="129"/>
      <c r="C14" s="131"/>
      <c r="D14" s="131"/>
      <c r="E14" s="129"/>
      <c r="F14" s="32"/>
      <c r="G14" s="32"/>
      <c r="H14" s="32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4"/>
      <c r="ED14" s="14"/>
      <c r="EE14" s="14"/>
      <c r="EF14" s="14"/>
      <c r="EG14" s="14"/>
      <c r="EH14" s="14"/>
      <c r="EI14" s="14"/>
      <c r="EJ14" s="14"/>
      <c r="EK14" s="14"/>
      <c r="EL14" s="14"/>
      <c r="EM14" s="14"/>
      <c r="EN14" s="14"/>
      <c r="EO14" s="14"/>
      <c r="EP14" s="14"/>
      <c r="EQ14" s="14"/>
      <c r="ER14" s="14"/>
      <c r="ES14" s="14"/>
      <c r="ET14" s="14"/>
      <c r="EU14" s="14"/>
      <c r="EV14" s="14"/>
      <c r="EW14" s="14"/>
      <c r="EX14" s="14"/>
    </row>
    <row r="15" spans="1:154" ht="15" customHeight="1" x14ac:dyDescent="0.15">
      <c r="A15" s="128"/>
      <c r="B15" s="130"/>
      <c r="C15" s="132"/>
      <c r="D15" s="132"/>
      <c r="E15" s="130"/>
      <c r="F15" s="33"/>
      <c r="G15" s="33"/>
      <c r="H15" s="33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4"/>
      <c r="EN15" s="14"/>
      <c r="EO15" s="14"/>
      <c r="EP15" s="14"/>
      <c r="EQ15" s="14"/>
      <c r="ER15" s="14"/>
      <c r="ES15" s="14"/>
      <c r="ET15" s="14"/>
      <c r="EU15" s="14"/>
      <c r="EV15" s="14"/>
      <c r="EW15" s="14"/>
      <c r="EX15" s="14"/>
    </row>
    <row r="16" spans="1:154" ht="15" customHeight="1" x14ac:dyDescent="0.15">
      <c r="A16" s="127">
        <v>8</v>
      </c>
      <c r="B16" s="129"/>
      <c r="C16" s="131"/>
      <c r="D16" s="131"/>
      <c r="E16" s="129"/>
      <c r="F16" s="32"/>
      <c r="G16" s="32"/>
      <c r="H16" s="32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14"/>
      <c r="DT16" s="14"/>
      <c r="DU16" s="14"/>
      <c r="DV16" s="14"/>
      <c r="DW16" s="14"/>
      <c r="DX16" s="14"/>
      <c r="DY16" s="14"/>
      <c r="DZ16" s="14"/>
      <c r="EA16" s="14"/>
      <c r="EB16" s="14"/>
      <c r="EC16" s="14"/>
      <c r="ED16" s="14"/>
      <c r="EE16" s="14"/>
      <c r="EF16" s="14"/>
      <c r="EG16" s="14"/>
      <c r="EH16" s="14"/>
      <c r="EI16" s="14"/>
      <c r="EJ16" s="14"/>
      <c r="EK16" s="14"/>
      <c r="EL16" s="14"/>
      <c r="EM16" s="14"/>
      <c r="EN16" s="14"/>
      <c r="EO16" s="14"/>
      <c r="EP16" s="14"/>
      <c r="EQ16" s="14"/>
      <c r="ER16" s="14"/>
      <c r="ES16" s="14"/>
      <c r="ET16" s="14"/>
      <c r="EU16" s="14"/>
      <c r="EV16" s="14"/>
      <c r="EW16" s="14"/>
      <c r="EX16" s="14"/>
    </row>
    <row r="17" spans="1:154" ht="15" customHeight="1" x14ac:dyDescent="0.15">
      <c r="A17" s="128"/>
      <c r="B17" s="130"/>
      <c r="C17" s="132"/>
      <c r="D17" s="132"/>
      <c r="E17" s="130"/>
      <c r="F17" s="33"/>
      <c r="G17" s="33"/>
      <c r="H17" s="33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4"/>
      <c r="EJ17" s="14"/>
      <c r="EK17" s="14"/>
      <c r="EL17" s="14"/>
      <c r="EM17" s="14"/>
      <c r="EN17" s="14"/>
      <c r="EO17" s="14"/>
      <c r="EP17" s="14"/>
      <c r="EQ17" s="14"/>
      <c r="ER17" s="14"/>
      <c r="ES17" s="14"/>
      <c r="ET17" s="14"/>
      <c r="EU17" s="14"/>
      <c r="EV17" s="14"/>
      <c r="EW17" s="14"/>
      <c r="EX17" s="14"/>
    </row>
    <row r="18" spans="1:154" ht="15" customHeight="1" x14ac:dyDescent="0.15">
      <c r="A18" s="127">
        <v>9</v>
      </c>
      <c r="B18" s="129"/>
      <c r="C18" s="131"/>
      <c r="D18" s="131"/>
      <c r="E18" s="129"/>
      <c r="F18" s="32"/>
      <c r="G18" s="32"/>
      <c r="H18" s="32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4"/>
      <c r="EJ18" s="14"/>
      <c r="EK18" s="14"/>
      <c r="EL18" s="14"/>
      <c r="EM18" s="14"/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</row>
    <row r="19" spans="1:154" ht="15" customHeight="1" x14ac:dyDescent="0.15">
      <c r="A19" s="128"/>
      <c r="B19" s="130"/>
      <c r="C19" s="132"/>
      <c r="D19" s="132"/>
      <c r="E19" s="130"/>
      <c r="F19" s="33"/>
      <c r="G19" s="33"/>
      <c r="H19" s="33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</row>
    <row r="20" spans="1:154" ht="15" customHeight="1" x14ac:dyDescent="0.15">
      <c r="A20" s="127">
        <v>10</v>
      </c>
      <c r="B20" s="129"/>
      <c r="C20" s="131"/>
      <c r="D20" s="131"/>
      <c r="E20" s="129"/>
      <c r="F20" s="32"/>
      <c r="G20" s="32"/>
      <c r="H20" s="32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4"/>
      <c r="EJ20" s="14"/>
      <c r="EK20" s="14"/>
      <c r="EL20" s="14"/>
      <c r="EM20" s="14"/>
      <c r="EN20" s="14"/>
      <c r="EO20" s="14"/>
      <c r="EP20" s="14"/>
      <c r="EQ20" s="14"/>
      <c r="ER20" s="14"/>
      <c r="ES20" s="14"/>
      <c r="ET20" s="14"/>
      <c r="EU20" s="14"/>
      <c r="EV20" s="14"/>
      <c r="EW20" s="14"/>
      <c r="EX20" s="14"/>
    </row>
    <row r="21" spans="1:154" ht="15" customHeight="1" x14ac:dyDescent="0.15">
      <c r="A21" s="128"/>
      <c r="B21" s="130"/>
      <c r="C21" s="132"/>
      <c r="D21" s="132"/>
      <c r="E21" s="130"/>
      <c r="F21" s="33"/>
      <c r="G21" s="33"/>
      <c r="H21" s="33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4"/>
      <c r="EJ21" s="14"/>
      <c r="EK21" s="14"/>
      <c r="EL21" s="14"/>
      <c r="EM21" s="14"/>
      <c r="EN21" s="14"/>
      <c r="EO21" s="14"/>
      <c r="EP21" s="14"/>
      <c r="EQ21" s="14"/>
      <c r="ER21" s="14"/>
      <c r="ES21" s="14"/>
      <c r="ET21" s="14"/>
      <c r="EU21" s="14"/>
      <c r="EV21" s="14"/>
      <c r="EW21" s="14"/>
      <c r="EX21" s="14"/>
    </row>
  </sheetData>
  <mergeCells count="50">
    <mergeCell ref="A2:A3"/>
    <mergeCell ref="B2:B3"/>
    <mergeCell ref="C2:C3"/>
    <mergeCell ref="D2:D3"/>
    <mergeCell ref="E2:E3"/>
    <mergeCell ref="A8:A9"/>
    <mergeCell ref="B8:B9"/>
    <mergeCell ref="C8:C9"/>
    <mergeCell ref="D8:D9"/>
    <mergeCell ref="E8:E9"/>
    <mergeCell ref="A6:A7"/>
    <mergeCell ref="B6:B7"/>
    <mergeCell ref="C6:C7"/>
    <mergeCell ref="D6:D7"/>
    <mergeCell ref="E6:E7"/>
    <mergeCell ref="A12:A13"/>
    <mergeCell ref="B12:B13"/>
    <mergeCell ref="C12:C13"/>
    <mergeCell ref="D12:D13"/>
    <mergeCell ref="E12:E13"/>
    <mergeCell ref="A10:A11"/>
    <mergeCell ref="B10:B11"/>
    <mergeCell ref="C10:C11"/>
    <mergeCell ref="D10:D11"/>
    <mergeCell ref="E10:E11"/>
    <mergeCell ref="A16:A17"/>
    <mergeCell ref="B16:B17"/>
    <mergeCell ref="C16:C17"/>
    <mergeCell ref="D16:D17"/>
    <mergeCell ref="E16:E17"/>
    <mergeCell ref="A14:A15"/>
    <mergeCell ref="B14:B15"/>
    <mergeCell ref="C14:C15"/>
    <mergeCell ref="D14:D15"/>
    <mergeCell ref="E14:E15"/>
    <mergeCell ref="A20:A21"/>
    <mergeCell ref="B20:B21"/>
    <mergeCell ref="C20:C21"/>
    <mergeCell ref="D20:D21"/>
    <mergeCell ref="E20:E21"/>
    <mergeCell ref="A18:A19"/>
    <mergeCell ref="B18:B19"/>
    <mergeCell ref="C18:C19"/>
    <mergeCell ref="D18:D19"/>
    <mergeCell ref="E18:E19"/>
    <mergeCell ref="A4:A5"/>
    <mergeCell ref="B4:B5"/>
    <mergeCell ref="C4:C5"/>
    <mergeCell ref="D4:D5"/>
    <mergeCell ref="E4:E5"/>
  </mergeCells>
  <phoneticPr fontId="5"/>
  <printOptions horizontalCentered="1"/>
  <pageMargins left="0.27559055118110237" right="0.27559055118110237" top="0.59055118110236227" bottom="0.39370078740157483" header="0.39370078740157483" footer="0.19685039370078741"/>
  <pageSetup paperSize="9" scale="87" fitToHeight="0" orientation="landscape" r:id="rId1"/>
  <headerFooter alignWithMargins="0">
    <oddHeader>&amp;L&amp;"ＭＳ ゴシック,太字"&amp;14&amp;A</oddHeader>
    <oddFooter>&amp;L&amp;"ＭＳ Ｐゴシック,標準"&amp;9（ES0402-F01_単体テスト仕様書兼結果報告書 20161003 Ver.1.2）&amp;C&amp;"ＭＳ Ｐゴシック,標準"&amp;9&amp;P / &amp;N&amp;R&amp;"ＭＳ Ｐゴシック,標準"&amp;9Copyright© 2013 SCSK Corporation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C8343-8783-4E93-A198-4CC41DE80A27}">
  <sheetPr>
    <pageSetUpPr fitToPage="1"/>
  </sheetPr>
  <dimension ref="A1:J6"/>
  <sheetViews>
    <sheetView zoomScaleNormal="100" workbookViewId="0"/>
  </sheetViews>
  <sheetFormatPr defaultColWidth="2.5" defaultRowHeight="15" customHeight="1" x14ac:dyDescent="0.15"/>
  <cols>
    <col min="1" max="1" width="1.625" style="1" customWidth="1"/>
    <col min="2" max="2" width="4.625" style="7" customWidth="1"/>
    <col min="3" max="4" width="25.625" style="6" customWidth="1"/>
    <col min="5" max="5" width="50.625" style="5" customWidth="1"/>
    <col min="6" max="6" width="60.625" style="5" customWidth="1"/>
    <col min="7" max="8" width="20.625" style="3" customWidth="1"/>
    <col min="9" max="9" width="20.5" style="1" customWidth="1"/>
    <col min="10" max="10" width="19.375" style="1" bestFit="1" customWidth="1"/>
    <col min="11" max="16384" width="2.5" style="1"/>
  </cols>
  <sheetData>
    <row r="1" spans="1:10" ht="17.100000000000001" customHeight="1" x14ac:dyDescent="0.15">
      <c r="A1" s="2"/>
      <c r="B1" s="34" t="s">
        <v>17</v>
      </c>
      <c r="C1" s="34" t="s">
        <v>25</v>
      </c>
      <c r="D1" s="34" t="s">
        <v>29</v>
      </c>
      <c r="E1" s="34" t="s">
        <v>45</v>
      </c>
      <c r="F1" s="34" t="s">
        <v>26</v>
      </c>
      <c r="G1" s="27" t="s">
        <v>27</v>
      </c>
      <c r="H1" s="27" t="s">
        <v>28</v>
      </c>
      <c r="I1" s="1" t="s">
        <v>46</v>
      </c>
      <c r="J1" s="3" t="s">
        <v>47</v>
      </c>
    </row>
    <row r="2" spans="1:10" ht="112.15" customHeight="1" x14ac:dyDescent="0.15">
      <c r="A2" s="2"/>
      <c r="B2" s="16">
        <v>1</v>
      </c>
      <c r="C2" s="4" t="s">
        <v>121</v>
      </c>
      <c r="D2" s="4" t="s">
        <v>30</v>
      </c>
      <c r="E2" s="4" t="s">
        <v>44</v>
      </c>
      <c r="F2" s="4" t="s">
        <v>31</v>
      </c>
      <c r="G2" s="4"/>
      <c r="H2" s="4"/>
      <c r="I2" s="1" cm="1">
        <f t="array" aca="1" ref="I2" ca="1">INDIRECT("'テスト仕様(No." &amp; B2 &amp; ")'!$E$1")</f>
        <v>2</v>
      </c>
      <c r="J2" s="1">
        <f ca="1">SUM(I2:I2)</f>
        <v>2</v>
      </c>
    </row>
    <row r="3" spans="1:10" ht="112.15" customHeight="1" x14ac:dyDescent="0.15">
      <c r="A3" s="2"/>
      <c r="B3" s="16">
        <v>2</v>
      </c>
      <c r="C3" s="4" t="s">
        <v>122</v>
      </c>
      <c r="D3" s="17" t="s">
        <v>30</v>
      </c>
      <c r="E3" s="4" t="s">
        <v>44</v>
      </c>
      <c r="F3" s="18" t="s">
        <v>31</v>
      </c>
      <c r="G3" s="18"/>
      <c r="H3" s="18"/>
      <c r="I3" s="1" cm="1">
        <f t="array" aca="1" ref="I3" ca="1">INDIRECT("'テスト仕様(No." &amp; B3 &amp; ")'!$E$1")</f>
        <v>4</v>
      </c>
      <c r="J3" s="1">
        <f ca="1">SUM(I3:I3)</f>
        <v>4</v>
      </c>
    </row>
    <row r="4" spans="1:10" ht="112.15" customHeight="1" x14ac:dyDescent="0.15">
      <c r="A4" s="2"/>
      <c r="B4" s="16">
        <v>3</v>
      </c>
      <c r="C4" s="4" t="s">
        <v>123</v>
      </c>
      <c r="D4" s="17" t="s">
        <v>30</v>
      </c>
      <c r="E4" s="4" t="s">
        <v>44</v>
      </c>
      <c r="F4" s="18" t="s">
        <v>31</v>
      </c>
      <c r="G4" s="18"/>
      <c r="H4" s="18"/>
      <c r="I4" s="1" cm="1">
        <f t="array" aca="1" ref="I4" ca="1">INDIRECT("'テスト仕様(No." &amp; B4 &amp; ")'!$E$1")</f>
        <v>7</v>
      </c>
      <c r="J4" s="1">
        <f ca="1">SUM(I4:I4)</f>
        <v>7</v>
      </c>
    </row>
    <row r="5" spans="1:10" ht="112.15" customHeight="1" x14ac:dyDescent="0.15">
      <c r="A5" s="2"/>
      <c r="B5" s="16">
        <v>4</v>
      </c>
      <c r="C5" s="4" t="s">
        <v>124</v>
      </c>
      <c r="D5" s="17" t="s">
        <v>30</v>
      </c>
      <c r="E5" s="4" t="s">
        <v>44</v>
      </c>
      <c r="F5" s="18" t="s">
        <v>31</v>
      </c>
      <c r="G5" s="18"/>
      <c r="H5" s="18"/>
      <c r="I5" s="1" cm="1">
        <f t="array" aca="1" ref="I5" ca="1">INDIRECT("'テスト仕様(No." &amp; B5 &amp; ")'!$E$1")</f>
        <v>1</v>
      </c>
      <c r="J5" s="1">
        <f ca="1">SUM(I5:I5)</f>
        <v>1</v>
      </c>
    </row>
    <row r="6" spans="1:10" ht="112.15" customHeight="1" x14ac:dyDescent="0.15">
      <c r="A6" s="2"/>
      <c r="B6" s="16">
        <v>5</v>
      </c>
      <c r="C6" s="4" t="s">
        <v>125</v>
      </c>
      <c r="D6" s="17" t="s">
        <v>30</v>
      </c>
      <c r="E6" s="4" t="s">
        <v>44</v>
      </c>
      <c r="F6" s="18" t="s">
        <v>31</v>
      </c>
      <c r="G6" s="18"/>
      <c r="H6" s="18"/>
      <c r="I6" s="1" cm="1">
        <f t="array" aca="1" ref="I6" ca="1">INDIRECT("'テスト仕様(No." &amp; B6 &amp; ")'!$E$1")</f>
        <v>2</v>
      </c>
      <c r="J6" s="1">
        <f ca="1">SUM(I6:I6)</f>
        <v>2</v>
      </c>
    </row>
  </sheetData>
  <phoneticPr fontId="5"/>
  <printOptions horizontalCentered="1"/>
  <pageMargins left="0.27559055118110237" right="0.27559055118110237" top="0.59055118110236227" bottom="0.39370078740157483" header="0.39370078740157483" footer="0.19685039370078741"/>
  <pageSetup paperSize="9" scale="68" fitToHeight="0" orientation="landscape" r:id="rId1"/>
  <headerFooter alignWithMargins="0">
    <oddHeader>&amp;L&amp;"ＭＳ ゴシック,太字"&amp;18&amp;A</oddHeader>
    <oddFooter>&amp;L&amp;"ＭＳ Ｐゴシック,標準"&amp;9（ES0402-F01_単体テスト仕様書兼結果報告書 20161003 Ver.1.2）&amp;C&amp;"ＭＳ Ｐゴシック,標準"&amp;9&amp;P / &amp;N&amp;R&amp;"ＭＳ Ｐゴシック,標準"&amp;9Copyright© 2013 SCSK Corporation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46F71-ED62-464B-818B-ADCFC87D7795}">
  <sheetPr>
    <pageSetUpPr fitToPage="1"/>
  </sheetPr>
  <dimension ref="A1:M46"/>
  <sheetViews>
    <sheetView zoomScaleNormal="100" workbookViewId="0"/>
  </sheetViews>
  <sheetFormatPr defaultColWidth="2.5" defaultRowHeight="15" customHeight="1" x14ac:dyDescent="0.15"/>
  <cols>
    <col min="1" max="1" width="1.625" style="1" customWidth="1"/>
    <col min="2" max="2" width="14.875" style="20" customWidth="1"/>
    <col min="3" max="3" width="5.375" style="21" customWidth="1"/>
    <col min="4" max="4" width="45.625" style="22" customWidth="1"/>
    <col min="5" max="13" width="5.625" style="24" customWidth="1"/>
    <col min="14" max="16384" width="2.5" style="1"/>
  </cols>
  <sheetData>
    <row r="1" spans="1:13" ht="26.25" customHeight="1" x14ac:dyDescent="0.15">
      <c r="A1" s="78"/>
      <c r="B1" s="39" t="s">
        <v>32</v>
      </c>
      <c r="C1" s="40">
        <v>1</v>
      </c>
      <c r="D1" s="41" t="s">
        <v>33</v>
      </c>
      <c r="E1" s="77">
        <f>COUNTA(F1:CM1)</f>
        <v>2</v>
      </c>
      <c r="F1" s="42">
        <v>1</v>
      </c>
      <c r="G1" s="42">
        <v>2</v>
      </c>
      <c r="H1" s="42"/>
      <c r="I1" s="42"/>
      <c r="J1" s="42"/>
      <c r="K1" s="42"/>
      <c r="L1" s="42"/>
      <c r="M1" s="42"/>
    </row>
    <row r="2" spans="1:13" ht="20.100000000000001" customHeight="1" x14ac:dyDescent="0.15">
      <c r="A2" s="43"/>
      <c r="B2" s="44"/>
      <c r="C2" s="45" t="s">
        <v>34</v>
      </c>
      <c r="D2" s="46" t="s">
        <v>35</v>
      </c>
      <c r="E2" s="47"/>
      <c r="F2" s="48"/>
      <c r="G2" s="48"/>
      <c r="H2" s="48"/>
      <c r="I2" s="48"/>
      <c r="J2" s="48"/>
      <c r="K2" s="48"/>
      <c r="L2" s="48"/>
      <c r="M2" s="48"/>
    </row>
    <row r="3" spans="1:13" ht="20.100000000000001" customHeight="1" x14ac:dyDescent="0.15">
      <c r="A3" s="43"/>
      <c r="B3" s="50"/>
      <c r="C3" s="23">
        <v>1</v>
      </c>
      <c r="D3" s="79" t="s">
        <v>59</v>
      </c>
      <c r="E3" s="35"/>
      <c r="F3" s="36"/>
      <c r="G3" s="36"/>
      <c r="H3" s="36"/>
      <c r="I3" s="36"/>
      <c r="J3" s="36"/>
      <c r="K3" s="36"/>
      <c r="L3" s="36"/>
      <c r="M3" s="36"/>
    </row>
    <row r="4" spans="1:13" ht="20.100000000000001" customHeight="1" x14ac:dyDescent="0.15">
      <c r="A4" s="43"/>
      <c r="B4" s="50"/>
      <c r="C4" s="23">
        <f t="shared" ref="C4:C12" si="0">C3+1</f>
        <v>2</v>
      </c>
      <c r="D4" s="51" t="s">
        <v>61</v>
      </c>
      <c r="E4" s="81"/>
      <c r="F4" s="51" t="s">
        <v>58</v>
      </c>
      <c r="G4" s="51" t="s">
        <v>58</v>
      </c>
      <c r="H4" s="51"/>
      <c r="I4" s="51"/>
      <c r="J4" s="51"/>
      <c r="K4" s="51"/>
      <c r="L4" s="51"/>
      <c r="M4" s="51"/>
    </row>
    <row r="5" spans="1:13" ht="20.100000000000001" customHeight="1" x14ac:dyDescent="0.15">
      <c r="A5" s="43"/>
      <c r="B5" s="50"/>
      <c r="C5" s="23">
        <f t="shared" si="0"/>
        <v>3</v>
      </c>
      <c r="D5" s="136" t="s">
        <v>62</v>
      </c>
      <c r="E5" s="137"/>
      <c r="F5" s="52" t="s">
        <v>58</v>
      </c>
      <c r="G5" s="52"/>
      <c r="H5" s="52"/>
      <c r="I5" s="52"/>
      <c r="J5" s="42"/>
      <c r="K5" s="52"/>
      <c r="L5" s="52"/>
      <c r="M5" s="42"/>
    </row>
    <row r="6" spans="1:13" ht="20.100000000000001" customHeight="1" x14ac:dyDescent="0.15">
      <c r="A6" s="43"/>
      <c r="B6" s="50"/>
      <c r="C6" s="23">
        <f t="shared" si="0"/>
        <v>4</v>
      </c>
      <c r="D6" s="136" t="s">
        <v>63</v>
      </c>
      <c r="E6" s="137"/>
      <c r="F6" s="52"/>
      <c r="G6" s="52" t="s">
        <v>58</v>
      </c>
      <c r="H6" s="52"/>
      <c r="I6" s="52"/>
      <c r="J6" s="42"/>
      <c r="K6" s="52"/>
      <c r="L6" s="52"/>
      <c r="M6" s="42"/>
    </row>
    <row r="7" spans="1:13" ht="20.100000000000001" customHeight="1" x14ac:dyDescent="0.15">
      <c r="A7" s="43"/>
      <c r="B7" s="50"/>
      <c r="C7" s="23">
        <f t="shared" si="0"/>
        <v>5</v>
      </c>
      <c r="D7" s="136"/>
      <c r="E7" s="137"/>
      <c r="F7" s="52"/>
      <c r="G7" s="52"/>
      <c r="H7" s="52"/>
      <c r="I7" s="52"/>
      <c r="J7" s="42"/>
      <c r="K7" s="52"/>
      <c r="L7" s="52"/>
      <c r="M7" s="42"/>
    </row>
    <row r="8" spans="1:13" ht="20.100000000000001" customHeight="1" x14ac:dyDescent="0.15">
      <c r="A8" s="43"/>
      <c r="B8" s="50"/>
      <c r="C8" s="23">
        <f t="shared" si="0"/>
        <v>6</v>
      </c>
      <c r="D8" s="136"/>
      <c r="E8" s="137"/>
      <c r="F8" s="52"/>
      <c r="G8" s="52"/>
      <c r="H8" s="52"/>
      <c r="I8" s="52"/>
      <c r="J8" s="42"/>
      <c r="K8" s="52"/>
      <c r="L8" s="52"/>
      <c r="M8" s="42"/>
    </row>
    <row r="9" spans="1:13" ht="20.100000000000001" customHeight="1" x14ac:dyDescent="0.15">
      <c r="A9" s="43"/>
      <c r="B9" s="50"/>
      <c r="C9" s="23">
        <f t="shared" si="0"/>
        <v>7</v>
      </c>
      <c r="D9" s="136"/>
      <c r="E9" s="137"/>
      <c r="F9" s="52"/>
      <c r="G9" s="52"/>
      <c r="H9" s="52"/>
      <c r="I9" s="52"/>
      <c r="J9" s="42"/>
      <c r="K9" s="52"/>
      <c r="L9" s="52"/>
      <c r="M9" s="42"/>
    </row>
    <row r="10" spans="1:13" ht="20.100000000000001" customHeight="1" x14ac:dyDescent="0.15">
      <c r="A10" s="43"/>
      <c r="B10" s="50"/>
      <c r="C10" s="23">
        <f t="shared" si="0"/>
        <v>8</v>
      </c>
      <c r="D10" s="136"/>
      <c r="E10" s="137"/>
      <c r="F10" s="52"/>
      <c r="G10" s="42"/>
      <c r="H10" s="52"/>
      <c r="I10" s="52"/>
      <c r="J10" s="42"/>
      <c r="K10" s="52"/>
      <c r="L10" s="52"/>
      <c r="M10" s="42"/>
    </row>
    <row r="11" spans="1:13" ht="20.100000000000001" customHeight="1" x14ac:dyDescent="0.15">
      <c r="A11" s="43"/>
      <c r="B11" s="50"/>
      <c r="C11" s="23">
        <f t="shared" si="0"/>
        <v>9</v>
      </c>
      <c r="D11" s="136"/>
      <c r="E11" s="137"/>
      <c r="F11" s="42"/>
      <c r="G11" s="42"/>
      <c r="H11" s="52"/>
      <c r="I11" s="52"/>
      <c r="J11" s="42"/>
      <c r="K11" s="52"/>
      <c r="L11" s="52"/>
      <c r="M11" s="42"/>
    </row>
    <row r="12" spans="1:13" ht="20.100000000000001" customHeight="1" x14ac:dyDescent="0.15">
      <c r="A12" s="43"/>
      <c r="B12" s="50"/>
      <c r="C12" s="23">
        <f t="shared" si="0"/>
        <v>10</v>
      </c>
      <c r="D12" s="136"/>
      <c r="E12" s="137"/>
      <c r="F12" s="42"/>
      <c r="G12" s="42"/>
      <c r="H12" s="52"/>
      <c r="I12" s="52"/>
      <c r="J12" s="42"/>
      <c r="K12" s="52"/>
      <c r="L12" s="52"/>
      <c r="M12" s="42"/>
    </row>
    <row r="13" spans="1:13" ht="20.100000000000001" customHeight="1" x14ac:dyDescent="0.15">
      <c r="A13" s="43"/>
      <c r="B13" s="53"/>
      <c r="C13" s="54"/>
      <c r="D13" s="55"/>
      <c r="E13" s="56"/>
      <c r="F13" s="57"/>
      <c r="G13" s="57"/>
      <c r="H13" s="57"/>
      <c r="I13" s="57"/>
      <c r="J13" s="57"/>
      <c r="K13" s="57"/>
      <c r="L13" s="57"/>
      <c r="M13" s="57"/>
    </row>
    <row r="14" spans="1:13" ht="19.899999999999999" customHeight="1" x14ac:dyDescent="0.15">
      <c r="A14" s="43"/>
      <c r="B14" s="44"/>
      <c r="C14" s="45" t="s">
        <v>34</v>
      </c>
      <c r="D14" s="46" t="s">
        <v>36</v>
      </c>
      <c r="E14" s="47"/>
      <c r="F14" s="48"/>
      <c r="G14" s="48"/>
      <c r="H14" s="48"/>
      <c r="I14" s="48"/>
      <c r="J14" s="48"/>
      <c r="K14" s="48"/>
      <c r="L14" s="48"/>
      <c r="M14" s="48"/>
    </row>
    <row r="15" spans="1:13" ht="20.100000000000001" customHeight="1" x14ac:dyDescent="0.15">
      <c r="A15" s="2"/>
      <c r="B15" s="26"/>
      <c r="C15" s="23">
        <v>1</v>
      </c>
      <c r="D15" s="37" t="s">
        <v>43</v>
      </c>
      <c r="E15" s="35"/>
      <c r="F15" s="36"/>
      <c r="G15" s="36"/>
      <c r="H15" s="36"/>
      <c r="I15" s="36"/>
      <c r="J15" s="36"/>
      <c r="K15" s="36"/>
      <c r="L15" s="36"/>
      <c r="M15" s="36"/>
    </row>
    <row r="16" spans="1:13" ht="20.100000000000001" customHeight="1" x14ac:dyDescent="0.15">
      <c r="A16" s="43"/>
      <c r="B16" s="50"/>
      <c r="C16" s="23">
        <f>C15+1</f>
        <v>2</v>
      </c>
      <c r="D16" s="51" t="s">
        <v>60</v>
      </c>
      <c r="E16" s="81"/>
      <c r="F16" s="51"/>
      <c r="G16" s="51"/>
      <c r="H16" s="51"/>
      <c r="I16" s="51"/>
      <c r="J16" s="51"/>
      <c r="K16" s="51"/>
      <c r="L16" s="51"/>
      <c r="M16" s="51"/>
    </row>
    <row r="17" spans="1:13" ht="20.100000000000001" customHeight="1" x14ac:dyDescent="0.15">
      <c r="A17" s="43"/>
      <c r="B17" s="50"/>
      <c r="C17" s="23">
        <f t="shared" ref="C17:C25" si="1">C16+1</f>
        <v>3</v>
      </c>
      <c r="D17" s="136" t="s">
        <v>64</v>
      </c>
      <c r="E17" s="137"/>
      <c r="F17" s="52" t="s">
        <v>57</v>
      </c>
      <c r="G17" s="80"/>
      <c r="H17" s="80"/>
      <c r="I17" s="80"/>
      <c r="J17" s="80"/>
      <c r="K17" s="80"/>
      <c r="L17" s="80"/>
      <c r="M17" s="80"/>
    </row>
    <row r="18" spans="1:13" ht="20.100000000000001" customHeight="1" x14ac:dyDescent="0.15">
      <c r="A18" s="43"/>
      <c r="B18" s="50"/>
      <c r="C18" s="23">
        <f t="shared" si="1"/>
        <v>4</v>
      </c>
      <c r="D18" s="136" t="s">
        <v>65</v>
      </c>
      <c r="E18" s="137"/>
      <c r="F18" s="52"/>
      <c r="G18" s="52" t="s">
        <v>57</v>
      </c>
      <c r="H18" s="80"/>
      <c r="I18" s="80"/>
      <c r="J18" s="80"/>
      <c r="K18" s="80"/>
      <c r="L18" s="80"/>
      <c r="M18" s="80"/>
    </row>
    <row r="19" spans="1:13" ht="20.100000000000001" customHeight="1" x14ac:dyDescent="0.15">
      <c r="A19" s="43"/>
      <c r="B19" s="50"/>
      <c r="C19" s="23">
        <f t="shared" si="1"/>
        <v>5</v>
      </c>
      <c r="D19" s="138"/>
      <c r="E19" s="139"/>
      <c r="F19" s="52"/>
      <c r="G19" s="80"/>
      <c r="H19" s="80"/>
      <c r="I19" s="80"/>
      <c r="J19" s="80"/>
      <c r="K19" s="80"/>
      <c r="L19" s="80"/>
      <c r="M19" s="80"/>
    </row>
    <row r="20" spans="1:13" ht="19.5" customHeight="1" x14ac:dyDescent="0.15">
      <c r="A20" s="43"/>
      <c r="B20" s="50"/>
      <c r="C20" s="23">
        <f t="shared" si="1"/>
        <v>6</v>
      </c>
      <c r="D20" s="79" t="s">
        <v>66</v>
      </c>
      <c r="E20" s="35"/>
      <c r="F20" s="36"/>
      <c r="G20" s="36"/>
      <c r="H20" s="36"/>
      <c r="I20" s="36"/>
      <c r="J20" s="36"/>
      <c r="K20" s="36"/>
      <c r="L20" s="36"/>
      <c r="M20" s="36"/>
    </row>
    <row r="21" spans="1:13" ht="19.5" customHeight="1" x14ac:dyDescent="0.15">
      <c r="A21" s="43"/>
      <c r="B21" s="50"/>
      <c r="C21" s="23">
        <f t="shared" si="1"/>
        <v>7</v>
      </c>
      <c r="D21" s="133" t="s">
        <v>67</v>
      </c>
      <c r="E21" s="134"/>
      <c r="F21" s="80"/>
      <c r="G21" s="80"/>
      <c r="H21" s="80"/>
      <c r="I21" s="80"/>
      <c r="J21" s="80"/>
      <c r="K21" s="80"/>
      <c r="L21" s="80"/>
      <c r="M21" s="80"/>
    </row>
    <row r="22" spans="1:13" ht="19.5" customHeight="1" x14ac:dyDescent="0.15">
      <c r="A22" s="43"/>
      <c r="B22" s="50"/>
      <c r="C22" s="23">
        <f t="shared" si="1"/>
        <v>8</v>
      </c>
      <c r="D22" s="133" t="s">
        <v>69</v>
      </c>
      <c r="E22" s="134"/>
      <c r="F22" s="80" t="s">
        <v>56</v>
      </c>
      <c r="G22" s="80" t="s">
        <v>56</v>
      </c>
      <c r="H22" s="80"/>
      <c r="I22" s="80"/>
      <c r="J22" s="80"/>
      <c r="K22" s="80"/>
      <c r="L22" s="80"/>
      <c r="M22" s="80"/>
    </row>
    <row r="23" spans="1:13" ht="19.5" customHeight="1" x14ac:dyDescent="0.15">
      <c r="A23" s="43"/>
      <c r="B23" s="50"/>
      <c r="C23" s="23">
        <f t="shared" si="1"/>
        <v>9</v>
      </c>
      <c r="D23" s="133"/>
      <c r="E23" s="134"/>
      <c r="F23" s="52"/>
      <c r="G23" s="42"/>
      <c r="H23" s="42"/>
      <c r="I23" s="52"/>
      <c r="J23" s="52"/>
      <c r="K23" s="42"/>
      <c r="L23" s="52"/>
      <c r="M23" s="52"/>
    </row>
    <row r="24" spans="1:13" ht="19.5" customHeight="1" x14ac:dyDescent="0.15">
      <c r="A24" s="43"/>
      <c r="B24" s="50"/>
      <c r="C24" s="23">
        <f t="shared" si="1"/>
        <v>10</v>
      </c>
      <c r="D24" s="133"/>
      <c r="E24" s="134"/>
      <c r="F24" s="52"/>
      <c r="G24" s="52"/>
      <c r="H24" s="52"/>
      <c r="I24" s="52"/>
      <c r="J24" s="42"/>
      <c r="K24" s="52"/>
      <c r="L24" s="52"/>
      <c r="M24" s="42"/>
    </row>
    <row r="25" spans="1:13" ht="19.5" customHeight="1" x14ac:dyDescent="0.15">
      <c r="A25" s="43"/>
      <c r="B25" s="50"/>
      <c r="C25" s="23">
        <f t="shared" si="1"/>
        <v>11</v>
      </c>
      <c r="D25" s="133"/>
      <c r="E25" s="134"/>
      <c r="F25" s="58"/>
      <c r="G25" s="42"/>
      <c r="H25" s="42"/>
      <c r="I25" s="42"/>
      <c r="J25" s="42"/>
      <c r="K25" s="42"/>
      <c r="L25" s="42"/>
      <c r="M25" s="42"/>
    </row>
    <row r="26" spans="1:13" ht="20.100000000000001" customHeight="1" x14ac:dyDescent="0.15">
      <c r="A26" s="43"/>
      <c r="B26" s="53"/>
      <c r="C26" s="54"/>
      <c r="D26" s="59"/>
      <c r="E26" s="60"/>
      <c r="F26" s="61"/>
      <c r="G26" s="57"/>
      <c r="H26" s="57"/>
      <c r="I26" s="57"/>
      <c r="J26" s="57"/>
      <c r="K26" s="57"/>
      <c r="L26" s="57"/>
      <c r="M26" s="57"/>
    </row>
    <row r="27" spans="1:13" ht="20.100000000000001" customHeight="1" x14ac:dyDescent="0.15">
      <c r="A27" s="43"/>
      <c r="B27" s="44"/>
      <c r="C27" s="62" t="s">
        <v>34</v>
      </c>
      <c r="D27" s="45" t="s">
        <v>37</v>
      </c>
      <c r="E27" s="63"/>
      <c r="F27" s="48"/>
      <c r="G27" s="48"/>
      <c r="H27" s="48"/>
      <c r="I27" s="48"/>
      <c r="J27" s="48"/>
      <c r="K27" s="48"/>
      <c r="L27" s="48"/>
      <c r="M27" s="48"/>
    </row>
    <row r="28" spans="1:13" ht="20.100000000000001" customHeight="1" x14ac:dyDescent="0.15">
      <c r="A28" s="43"/>
      <c r="B28" s="64" t="s">
        <v>38</v>
      </c>
      <c r="C28" s="65">
        <v>1</v>
      </c>
      <c r="D28" s="38"/>
      <c r="E28" s="66" t="s">
        <v>39</v>
      </c>
      <c r="F28" s="66"/>
      <c r="G28" s="66"/>
      <c r="H28" s="66"/>
      <c r="I28" s="66"/>
      <c r="J28" s="66"/>
      <c r="K28" s="66"/>
      <c r="L28" s="66"/>
      <c r="M28" s="66"/>
    </row>
    <row r="29" spans="1:13" ht="20.100000000000001" customHeight="1" x14ac:dyDescent="0.15">
      <c r="A29" s="43"/>
      <c r="B29" s="64"/>
      <c r="C29" s="65"/>
      <c r="D29" s="67"/>
      <c r="E29" s="68" t="s">
        <v>40</v>
      </c>
      <c r="F29" s="68"/>
      <c r="G29" s="68"/>
      <c r="H29" s="68"/>
      <c r="I29" s="68"/>
      <c r="J29" s="68"/>
      <c r="K29" s="68"/>
      <c r="L29" s="68"/>
      <c r="M29" s="68"/>
    </row>
    <row r="30" spans="1:13" ht="20.100000000000001" customHeight="1" x14ac:dyDescent="0.15">
      <c r="A30" s="43"/>
      <c r="B30" s="64"/>
      <c r="C30" s="69">
        <v>2</v>
      </c>
      <c r="D30" s="70"/>
      <c r="E30" s="66" t="s">
        <v>39</v>
      </c>
      <c r="F30" s="66"/>
      <c r="G30" s="66"/>
      <c r="H30" s="66"/>
      <c r="I30" s="66"/>
      <c r="J30" s="66"/>
      <c r="K30" s="66"/>
      <c r="L30" s="66"/>
      <c r="M30" s="66"/>
    </row>
    <row r="31" spans="1:13" ht="20.100000000000001" customHeight="1" x14ac:dyDescent="0.15">
      <c r="A31" s="43"/>
      <c r="B31" s="64"/>
      <c r="C31" s="71"/>
      <c r="D31" s="72"/>
      <c r="E31" s="68" t="s">
        <v>40</v>
      </c>
      <c r="F31" s="68"/>
      <c r="G31" s="68"/>
      <c r="H31" s="68"/>
      <c r="I31" s="68"/>
      <c r="J31" s="68"/>
      <c r="K31" s="68"/>
      <c r="L31" s="68"/>
      <c r="M31" s="68"/>
    </row>
    <row r="32" spans="1:13" ht="20.100000000000001" customHeight="1" x14ac:dyDescent="0.15">
      <c r="A32" s="43"/>
      <c r="B32" s="64"/>
      <c r="C32" s="69">
        <v>3</v>
      </c>
      <c r="D32" s="70"/>
      <c r="E32" s="66" t="s">
        <v>39</v>
      </c>
      <c r="F32" s="66"/>
      <c r="G32" s="66"/>
      <c r="H32" s="66"/>
      <c r="I32" s="66"/>
      <c r="J32" s="66"/>
      <c r="K32" s="66"/>
      <c r="L32" s="66"/>
      <c r="M32" s="66"/>
    </row>
    <row r="33" spans="1:13" ht="20.100000000000001" customHeight="1" x14ac:dyDescent="0.15">
      <c r="A33" s="43"/>
      <c r="B33" s="64"/>
      <c r="C33" s="71"/>
      <c r="D33" s="72"/>
      <c r="E33" s="68" t="s">
        <v>40</v>
      </c>
      <c r="F33" s="68"/>
      <c r="G33" s="68"/>
      <c r="H33" s="68"/>
      <c r="I33" s="68"/>
      <c r="J33" s="68"/>
      <c r="K33" s="68"/>
      <c r="L33" s="68"/>
      <c r="M33" s="68"/>
    </row>
    <row r="34" spans="1:13" ht="20.100000000000001" customHeight="1" x14ac:dyDescent="0.15">
      <c r="A34" s="43"/>
      <c r="B34" s="64"/>
      <c r="C34" s="69">
        <v>4</v>
      </c>
      <c r="D34" s="70"/>
      <c r="E34" s="66" t="s">
        <v>39</v>
      </c>
      <c r="F34" s="66"/>
      <c r="G34" s="66"/>
      <c r="H34" s="66"/>
      <c r="I34" s="66"/>
      <c r="J34" s="66"/>
      <c r="K34" s="66"/>
      <c r="L34" s="66"/>
      <c r="M34" s="66"/>
    </row>
    <row r="35" spans="1:13" ht="9.9499999999999993" customHeight="1" x14ac:dyDescent="0.15">
      <c r="A35" s="43"/>
      <c r="B35" s="64"/>
      <c r="C35" s="71"/>
      <c r="D35" s="72"/>
      <c r="E35" s="68" t="s">
        <v>40</v>
      </c>
      <c r="F35" s="68"/>
      <c r="G35" s="68"/>
      <c r="H35" s="68"/>
      <c r="I35" s="68"/>
      <c r="J35" s="68"/>
      <c r="K35" s="68"/>
      <c r="L35" s="68"/>
      <c r="M35" s="68"/>
    </row>
    <row r="36" spans="1:13" ht="20.100000000000001" customHeight="1" x14ac:dyDescent="0.15">
      <c r="A36" s="43"/>
      <c r="B36" s="64"/>
      <c r="C36" s="69">
        <v>5</v>
      </c>
      <c r="D36" s="70"/>
      <c r="E36" s="66" t="s">
        <v>39</v>
      </c>
      <c r="F36" s="66"/>
      <c r="G36" s="66"/>
      <c r="H36" s="66"/>
      <c r="I36" s="66"/>
      <c r="J36" s="66"/>
      <c r="K36" s="66"/>
      <c r="L36" s="66"/>
      <c r="M36" s="66"/>
    </row>
    <row r="37" spans="1:13" ht="20.100000000000001" customHeight="1" x14ac:dyDescent="0.15">
      <c r="A37" s="43"/>
      <c r="B37" s="64"/>
      <c r="C37" s="71"/>
      <c r="D37" s="72"/>
      <c r="E37" s="68" t="s">
        <v>40</v>
      </c>
      <c r="F37" s="68"/>
      <c r="G37" s="68"/>
      <c r="H37" s="68"/>
      <c r="I37" s="68"/>
      <c r="J37" s="68"/>
      <c r="K37" s="68"/>
      <c r="L37" s="68"/>
      <c r="M37" s="68"/>
    </row>
    <row r="38" spans="1:13" ht="30" customHeight="1" x14ac:dyDescent="0.15">
      <c r="A38" s="43"/>
      <c r="B38" s="64"/>
      <c r="C38" s="69">
        <v>6</v>
      </c>
      <c r="D38" s="70"/>
      <c r="E38" s="66" t="s">
        <v>39</v>
      </c>
      <c r="F38" s="66"/>
      <c r="G38" s="66"/>
      <c r="H38" s="66"/>
      <c r="I38" s="66"/>
      <c r="J38" s="66"/>
      <c r="K38" s="66"/>
      <c r="L38" s="66"/>
      <c r="M38" s="66"/>
    </row>
    <row r="39" spans="1:13" ht="30" customHeight="1" x14ac:dyDescent="0.15">
      <c r="A39" s="43"/>
      <c r="B39" s="64"/>
      <c r="C39" s="71"/>
      <c r="D39" s="72"/>
      <c r="E39" s="68" t="s">
        <v>40</v>
      </c>
      <c r="F39" s="68"/>
      <c r="G39" s="68"/>
      <c r="H39" s="68"/>
      <c r="I39" s="68"/>
      <c r="J39" s="68"/>
      <c r="K39" s="68"/>
      <c r="L39" s="68"/>
      <c r="M39" s="68"/>
    </row>
    <row r="40" spans="1:13" ht="30" customHeight="1" x14ac:dyDescent="0.15">
      <c r="A40" s="43"/>
      <c r="B40" s="64"/>
      <c r="C40" s="69">
        <v>7</v>
      </c>
      <c r="D40" s="70"/>
      <c r="E40" s="66" t="s">
        <v>39</v>
      </c>
      <c r="F40" s="66"/>
      <c r="G40" s="66"/>
      <c r="H40" s="66"/>
      <c r="I40" s="66"/>
      <c r="J40" s="66"/>
      <c r="K40" s="66"/>
      <c r="L40" s="66"/>
      <c r="M40" s="66"/>
    </row>
    <row r="41" spans="1:13" ht="30" customHeight="1" x14ac:dyDescent="0.15">
      <c r="A41" s="43"/>
      <c r="B41" s="64"/>
      <c r="C41" s="71"/>
      <c r="D41" s="72"/>
      <c r="E41" s="68" t="s">
        <v>40</v>
      </c>
      <c r="F41" s="68"/>
      <c r="G41" s="68"/>
      <c r="H41" s="68"/>
      <c r="I41" s="68"/>
      <c r="J41" s="68"/>
      <c r="K41" s="68"/>
      <c r="L41" s="68"/>
      <c r="M41" s="68"/>
    </row>
    <row r="42" spans="1:13" ht="30" customHeight="1" x14ac:dyDescent="0.15">
      <c r="A42" s="43"/>
      <c r="B42" s="64"/>
      <c r="C42" s="69">
        <v>8</v>
      </c>
      <c r="D42" s="70"/>
      <c r="E42" s="66" t="s">
        <v>39</v>
      </c>
      <c r="F42" s="66"/>
      <c r="G42" s="66"/>
      <c r="H42" s="66"/>
      <c r="I42" s="66"/>
      <c r="J42" s="66"/>
      <c r="K42" s="66"/>
      <c r="L42" s="66"/>
      <c r="M42" s="66"/>
    </row>
    <row r="43" spans="1:13" ht="30" customHeight="1" x14ac:dyDescent="0.15">
      <c r="A43" s="43"/>
      <c r="B43" s="64"/>
      <c r="C43" s="71"/>
      <c r="D43" s="72"/>
      <c r="E43" s="68" t="s">
        <v>40</v>
      </c>
      <c r="F43" s="68"/>
      <c r="G43" s="68"/>
      <c r="H43" s="68"/>
      <c r="I43" s="68"/>
      <c r="J43" s="68"/>
      <c r="K43" s="68"/>
      <c r="L43" s="68"/>
      <c r="M43" s="68"/>
    </row>
    <row r="44" spans="1:13" ht="30" customHeight="1" x14ac:dyDescent="0.15">
      <c r="A44" s="43"/>
      <c r="B44" s="53"/>
      <c r="C44" s="54"/>
      <c r="D44" s="59"/>
      <c r="E44" s="59"/>
      <c r="F44" s="57"/>
      <c r="G44" s="57"/>
      <c r="H44" s="57"/>
      <c r="I44" s="57"/>
      <c r="J44" s="57"/>
      <c r="K44" s="57"/>
      <c r="L44" s="57"/>
      <c r="M44" s="57"/>
    </row>
    <row r="45" spans="1:13" ht="30" customHeight="1" x14ac:dyDescent="0.15">
      <c r="A45" s="78"/>
      <c r="B45" s="73" t="s">
        <v>41</v>
      </c>
      <c r="C45" s="59"/>
      <c r="D45" s="59" t="s">
        <v>42</v>
      </c>
      <c r="E45" s="49"/>
      <c r="F45" s="42"/>
      <c r="G45" s="42"/>
      <c r="H45" s="42"/>
      <c r="I45" s="42"/>
      <c r="J45" s="42"/>
      <c r="K45" s="42"/>
      <c r="L45" s="42"/>
      <c r="M45" s="42"/>
    </row>
    <row r="46" spans="1:13" ht="30" customHeight="1" x14ac:dyDescent="0.15">
      <c r="A46" s="135"/>
      <c r="B46" s="135"/>
      <c r="C46" s="74"/>
      <c r="D46" s="14"/>
      <c r="E46" s="75"/>
      <c r="F46" s="76"/>
      <c r="G46" s="76"/>
      <c r="H46" s="76"/>
      <c r="I46" s="76"/>
      <c r="J46" s="76"/>
      <c r="K46" s="76"/>
      <c r="L46" s="76"/>
      <c r="M46" s="76"/>
    </row>
  </sheetData>
  <mergeCells count="17">
    <mergeCell ref="D10:E10"/>
    <mergeCell ref="D11:E11"/>
    <mergeCell ref="D12:E12"/>
    <mergeCell ref="D18:E18"/>
    <mergeCell ref="D19:E19"/>
    <mergeCell ref="D5:E5"/>
    <mergeCell ref="D6:E6"/>
    <mergeCell ref="D7:E7"/>
    <mergeCell ref="D8:E8"/>
    <mergeCell ref="D9:E9"/>
    <mergeCell ref="D25:E25"/>
    <mergeCell ref="A46:B46"/>
    <mergeCell ref="D21:E21"/>
    <mergeCell ref="D22:E22"/>
    <mergeCell ref="D17:E17"/>
    <mergeCell ref="D23:E23"/>
    <mergeCell ref="D24:E24"/>
  </mergeCells>
  <phoneticPr fontId="5"/>
  <printOptions horizontalCentered="1"/>
  <pageMargins left="0.27559055118110237" right="0.27559055118110237" top="0.59055118110236227" bottom="0.39370078740157483" header="0.39370078740157483" footer="0.19685039370078741"/>
  <pageSetup paperSize="9" scale="63" fitToHeight="0" orientation="landscape" r:id="rId1"/>
  <headerFooter alignWithMargins="0">
    <oddHeader>&amp;L&amp;"ＭＳ ゴシック,太字"&amp;18&amp;A</oddHeader>
    <oddFooter>&amp;L&amp;"ＭＳ Ｐゴシック,標準"&amp;9（ES0402-F01_単体テスト仕様書兼結果報告書 20161003 Ver.1.2）&amp;C&amp;"ＭＳ Ｐゴシック,標準"&amp;9&amp;P / &amp;N&amp;R&amp;"ＭＳ Ｐゴシック,標準"&amp;9Copyright© 2013 SCSK Corporation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57E52-D533-4050-A8A5-C6CFDFC247DE}">
  <sheetPr>
    <pageSetUpPr fitToPage="1"/>
  </sheetPr>
  <dimension ref="A1:M49"/>
  <sheetViews>
    <sheetView zoomScaleNormal="100" workbookViewId="0"/>
  </sheetViews>
  <sheetFormatPr defaultColWidth="2.5" defaultRowHeight="15" customHeight="1" x14ac:dyDescent="0.15"/>
  <cols>
    <col min="1" max="1" width="1.625" style="1" customWidth="1"/>
    <col min="2" max="2" width="14.875" style="20" customWidth="1"/>
    <col min="3" max="3" width="5.375" style="21" customWidth="1"/>
    <col min="4" max="4" width="45.625" style="22" customWidth="1"/>
    <col min="5" max="13" width="5.625" style="24" customWidth="1"/>
    <col min="14" max="16384" width="2.5" style="1"/>
  </cols>
  <sheetData>
    <row r="1" spans="1:13" ht="26.25" customHeight="1" x14ac:dyDescent="0.15">
      <c r="A1" s="78"/>
      <c r="B1" s="39" t="s">
        <v>32</v>
      </c>
      <c r="C1" s="40">
        <v>2</v>
      </c>
      <c r="D1" s="41" t="s">
        <v>33</v>
      </c>
      <c r="E1" s="77">
        <f>COUNTA(F1:CM1)</f>
        <v>4</v>
      </c>
      <c r="F1" s="42">
        <v>1</v>
      </c>
      <c r="G1" s="42">
        <v>2</v>
      </c>
      <c r="H1" s="42">
        <v>3</v>
      </c>
      <c r="I1" s="42">
        <v>4</v>
      </c>
      <c r="J1" s="42"/>
      <c r="K1" s="42"/>
      <c r="L1" s="42"/>
      <c r="M1" s="42"/>
    </row>
    <row r="2" spans="1:13" ht="20.100000000000001" customHeight="1" x14ac:dyDescent="0.15">
      <c r="A2" s="43"/>
      <c r="B2" s="44"/>
      <c r="C2" s="45" t="s">
        <v>34</v>
      </c>
      <c r="D2" s="46" t="s">
        <v>35</v>
      </c>
      <c r="E2" s="47"/>
      <c r="F2" s="48"/>
      <c r="G2" s="48"/>
      <c r="H2" s="48"/>
      <c r="I2" s="48"/>
      <c r="J2" s="48"/>
      <c r="K2" s="48"/>
      <c r="L2" s="48"/>
      <c r="M2" s="48"/>
    </row>
    <row r="3" spans="1:13" ht="20.100000000000001" customHeight="1" x14ac:dyDescent="0.15">
      <c r="A3" s="43"/>
      <c r="B3" s="50"/>
      <c r="C3" s="23">
        <v>1</v>
      </c>
      <c r="D3" s="79" t="s">
        <v>68</v>
      </c>
      <c r="E3" s="35"/>
      <c r="F3" s="36"/>
      <c r="G3" s="36"/>
      <c r="H3" s="36"/>
      <c r="I3" s="36"/>
      <c r="J3" s="36"/>
      <c r="K3" s="36"/>
      <c r="L3" s="36"/>
      <c r="M3" s="36"/>
    </row>
    <row r="4" spans="1:13" ht="20.100000000000001" customHeight="1" x14ac:dyDescent="0.15">
      <c r="A4" s="43"/>
      <c r="B4" s="50"/>
      <c r="C4" s="23">
        <f>C3+1</f>
        <v>2</v>
      </c>
      <c r="D4" s="79" t="s">
        <v>70</v>
      </c>
      <c r="E4" s="35"/>
      <c r="F4" s="36"/>
      <c r="G4" s="36"/>
      <c r="H4" s="36"/>
      <c r="I4" s="36"/>
      <c r="J4" s="36"/>
      <c r="K4" s="36"/>
      <c r="L4" s="36"/>
      <c r="M4" s="36"/>
    </row>
    <row r="5" spans="1:13" ht="20.100000000000001" customHeight="1" x14ac:dyDescent="0.15">
      <c r="A5" s="43"/>
      <c r="B5" s="50"/>
      <c r="C5" s="23">
        <f t="shared" ref="C5:C12" si="0">C4+1</f>
        <v>3</v>
      </c>
      <c r="D5" s="51" t="s">
        <v>71</v>
      </c>
      <c r="E5" s="81"/>
      <c r="F5" s="51"/>
      <c r="G5" s="51"/>
      <c r="H5" s="51"/>
      <c r="I5" s="51"/>
      <c r="J5" s="51"/>
      <c r="K5" s="51"/>
      <c r="L5" s="51"/>
      <c r="M5" s="51"/>
    </row>
    <row r="6" spans="1:13" ht="20.100000000000001" customHeight="1" x14ac:dyDescent="0.15">
      <c r="A6" s="43"/>
      <c r="B6" s="50"/>
      <c r="C6" s="23">
        <f t="shared" si="0"/>
        <v>4</v>
      </c>
      <c r="D6" s="136" t="s">
        <v>72</v>
      </c>
      <c r="E6" s="137"/>
      <c r="F6" s="52" t="s">
        <v>58</v>
      </c>
      <c r="G6" s="52"/>
      <c r="H6" s="52"/>
      <c r="I6" s="52"/>
      <c r="J6" s="42"/>
      <c r="K6" s="52"/>
      <c r="L6" s="52"/>
      <c r="M6" s="42"/>
    </row>
    <row r="7" spans="1:13" ht="20.100000000000001" customHeight="1" x14ac:dyDescent="0.15">
      <c r="A7" s="43"/>
      <c r="B7" s="50"/>
      <c r="C7" s="23">
        <f t="shared" si="0"/>
        <v>5</v>
      </c>
      <c r="D7" s="136" t="s">
        <v>75</v>
      </c>
      <c r="E7" s="137"/>
      <c r="F7" s="52"/>
      <c r="G7" s="52" t="s">
        <v>58</v>
      </c>
      <c r="H7" s="52" t="s">
        <v>58</v>
      </c>
      <c r="I7" s="52" t="s">
        <v>58</v>
      </c>
      <c r="J7" s="42"/>
      <c r="K7" s="52"/>
      <c r="L7" s="52"/>
      <c r="M7" s="42"/>
    </row>
    <row r="8" spans="1:13" ht="20.100000000000001" customHeight="1" x14ac:dyDescent="0.15">
      <c r="A8" s="43"/>
      <c r="B8" s="50"/>
      <c r="C8" s="23">
        <f t="shared" si="0"/>
        <v>6</v>
      </c>
      <c r="D8" s="79" t="s">
        <v>76</v>
      </c>
      <c r="E8" s="35"/>
      <c r="F8" s="36"/>
      <c r="G8" s="36"/>
      <c r="H8" s="36"/>
      <c r="I8" s="36"/>
      <c r="J8" s="36"/>
      <c r="K8" s="36"/>
      <c r="L8" s="36"/>
      <c r="M8" s="36"/>
    </row>
    <row r="9" spans="1:13" ht="20.100000000000001" customHeight="1" x14ac:dyDescent="0.15">
      <c r="A9" s="43"/>
      <c r="B9" s="50"/>
      <c r="C9" s="23">
        <f t="shared" si="0"/>
        <v>7</v>
      </c>
      <c r="D9" s="51" t="s">
        <v>78</v>
      </c>
      <c r="E9" s="81"/>
      <c r="F9" s="51"/>
      <c r="G9" s="51"/>
      <c r="H9" s="51"/>
      <c r="I9" s="51"/>
      <c r="J9" s="51"/>
      <c r="K9" s="51"/>
      <c r="L9" s="51"/>
      <c r="M9" s="51"/>
    </row>
    <row r="10" spans="1:13" ht="20.100000000000001" customHeight="1" x14ac:dyDescent="0.15">
      <c r="A10" s="43"/>
      <c r="B10" s="50"/>
      <c r="C10" s="23">
        <f t="shared" si="0"/>
        <v>8</v>
      </c>
      <c r="D10" s="136" t="s">
        <v>77</v>
      </c>
      <c r="E10" s="137"/>
      <c r="F10" s="52"/>
      <c r="G10" s="52" t="s">
        <v>57</v>
      </c>
      <c r="H10" s="52"/>
      <c r="I10" s="52"/>
      <c r="J10" s="42"/>
      <c r="K10" s="52"/>
      <c r="L10" s="52"/>
      <c r="M10" s="42"/>
    </row>
    <row r="11" spans="1:13" ht="20.100000000000001" customHeight="1" x14ac:dyDescent="0.15">
      <c r="A11" s="43"/>
      <c r="B11" s="50"/>
      <c r="C11" s="23">
        <f t="shared" si="0"/>
        <v>9</v>
      </c>
      <c r="D11" s="136" t="s">
        <v>79</v>
      </c>
      <c r="E11" s="137"/>
      <c r="F11" s="52"/>
      <c r="G11" s="42"/>
      <c r="H11" s="52" t="s">
        <v>57</v>
      </c>
      <c r="I11" s="52"/>
      <c r="J11" s="42"/>
      <c r="K11" s="52"/>
      <c r="L11" s="52"/>
      <c r="M11" s="42"/>
    </row>
    <row r="12" spans="1:13" ht="20.100000000000001" customHeight="1" x14ac:dyDescent="0.15">
      <c r="A12" s="43"/>
      <c r="B12" s="50"/>
      <c r="C12" s="23">
        <f t="shared" si="0"/>
        <v>10</v>
      </c>
      <c r="D12" s="136" t="s">
        <v>80</v>
      </c>
      <c r="E12" s="137"/>
      <c r="F12" s="42"/>
      <c r="G12" s="42"/>
      <c r="H12" s="52"/>
      <c r="I12" s="52" t="s">
        <v>57</v>
      </c>
      <c r="J12" s="42"/>
      <c r="K12" s="52"/>
      <c r="L12" s="52"/>
      <c r="M12" s="42"/>
    </row>
    <row r="13" spans="1:13" ht="20.100000000000001" customHeight="1" x14ac:dyDescent="0.15">
      <c r="A13" s="43"/>
      <c r="B13" s="50"/>
      <c r="C13" s="23">
        <f t="shared" ref="C13" si="1">C12+1</f>
        <v>11</v>
      </c>
      <c r="D13" s="136"/>
      <c r="E13" s="137"/>
      <c r="F13" s="42"/>
      <c r="G13" s="42"/>
      <c r="H13" s="52"/>
      <c r="I13" s="52"/>
      <c r="J13" s="42"/>
      <c r="K13" s="52"/>
      <c r="L13" s="52"/>
      <c r="M13" s="42"/>
    </row>
    <row r="14" spans="1:13" ht="20.100000000000001" customHeight="1" x14ac:dyDescent="0.15">
      <c r="A14" s="43"/>
      <c r="B14" s="53"/>
      <c r="C14" s="54"/>
      <c r="D14" s="55"/>
      <c r="E14" s="56"/>
      <c r="F14" s="57"/>
      <c r="G14" s="57"/>
      <c r="H14" s="57"/>
      <c r="I14" s="57"/>
      <c r="J14" s="57"/>
      <c r="K14" s="57"/>
      <c r="L14" s="57"/>
      <c r="M14" s="57"/>
    </row>
    <row r="15" spans="1:13" ht="19.899999999999999" customHeight="1" x14ac:dyDescent="0.15">
      <c r="A15" s="43"/>
      <c r="B15" s="44"/>
      <c r="C15" s="45" t="s">
        <v>34</v>
      </c>
      <c r="D15" s="46" t="s">
        <v>36</v>
      </c>
      <c r="E15" s="47"/>
      <c r="F15" s="48"/>
      <c r="G15" s="48"/>
      <c r="H15" s="48"/>
      <c r="I15" s="48"/>
      <c r="J15" s="48"/>
      <c r="K15" s="48"/>
      <c r="L15" s="48"/>
      <c r="M15" s="48"/>
    </row>
    <row r="16" spans="1:13" ht="20.100000000000001" customHeight="1" x14ac:dyDescent="0.15">
      <c r="A16" s="2"/>
      <c r="B16" s="26"/>
      <c r="C16" s="23">
        <v>1</v>
      </c>
      <c r="D16" s="37" t="s">
        <v>43</v>
      </c>
      <c r="E16" s="35"/>
      <c r="F16" s="36"/>
      <c r="G16" s="36"/>
      <c r="H16" s="36"/>
      <c r="I16" s="36"/>
      <c r="J16" s="36"/>
      <c r="K16" s="36"/>
      <c r="L16" s="36"/>
      <c r="M16" s="36"/>
    </row>
    <row r="17" spans="1:13" ht="20.100000000000001" customHeight="1" x14ac:dyDescent="0.15">
      <c r="A17" s="43"/>
      <c r="B17" s="50"/>
      <c r="C17" s="23">
        <f>C16+1</f>
        <v>2</v>
      </c>
      <c r="D17" s="136" t="s">
        <v>74</v>
      </c>
      <c r="E17" s="137"/>
      <c r="F17" s="52"/>
      <c r="G17" s="80"/>
      <c r="H17" s="80"/>
      <c r="I17" s="80"/>
      <c r="J17" s="80"/>
      <c r="K17" s="80"/>
      <c r="L17" s="80"/>
      <c r="M17" s="80"/>
    </row>
    <row r="18" spans="1:13" ht="20.100000000000001" customHeight="1" x14ac:dyDescent="0.15">
      <c r="A18" s="43"/>
      <c r="B18" s="50"/>
      <c r="C18" s="23">
        <f t="shared" ref="C18:C28" si="2">C17+1</f>
        <v>3</v>
      </c>
      <c r="D18" s="136"/>
      <c r="E18" s="137"/>
      <c r="F18" s="52"/>
      <c r="G18" s="52"/>
      <c r="H18" s="80"/>
      <c r="I18" s="80"/>
      <c r="J18" s="80"/>
      <c r="K18" s="80"/>
      <c r="L18" s="80"/>
      <c r="M18" s="80"/>
    </row>
    <row r="19" spans="1:13" ht="20.100000000000001" customHeight="1" x14ac:dyDescent="0.15">
      <c r="A19" s="43"/>
      <c r="B19" s="50"/>
      <c r="C19" s="23">
        <f t="shared" si="2"/>
        <v>4</v>
      </c>
      <c r="D19" s="136"/>
      <c r="E19" s="137"/>
      <c r="F19" s="52"/>
      <c r="G19" s="80"/>
      <c r="H19" s="80"/>
      <c r="I19" s="80"/>
      <c r="J19" s="80"/>
      <c r="K19" s="80"/>
      <c r="L19" s="80"/>
      <c r="M19" s="80"/>
    </row>
    <row r="20" spans="1:13" ht="19.5" customHeight="1" x14ac:dyDescent="0.15">
      <c r="A20" s="43"/>
      <c r="B20" s="50"/>
      <c r="C20" s="23">
        <f t="shared" si="2"/>
        <v>5</v>
      </c>
      <c r="D20" s="79" t="s">
        <v>66</v>
      </c>
      <c r="E20" s="35"/>
      <c r="F20" s="36"/>
      <c r="G20" s="36"/>
      <c r="H20" s="36"/>
      <c r="I20" s="36"/>
      <c r="J20" s="36"/>
      <c r="K20" s="36"/>
      <c r="L20" s="36"/>
      <c r="M20" s="36"/>
    </row>
    <row r="21" spans="1:13" ht="19.5" customHeight="1" x14ac:dyDescent="0.15">
      <c r="A21" s="43"/>
      <c r="B21" s="50"/>
      <c r="C21" s="23">
        <f t="shared" si="2"/>
        <v>6</v>
      </c>
      <c r="D21" s="136" t="s">
        <v>73</v>
      </c>
      <c r="E21" s="137"/>
      <c r="F21" s="80" t="s">
        <v>57</v>
      </c>
      <c r="G21" s="80"/>
      <c r="H21" s="80"/>
      <c r="I21" s="80"/>
      <c r="J21" s="80"/>
      <c r="K21" s="80"/>
      <c r="L21" s="80"/>
      <c r="M21" s="80"/>
    </row>
    <row r="22" spans="1:13" ht="19.5" customHeight="1" x14ac:dyDescent="0.15">
      <c r="A22" s="43"/>
      <c r="B22" s="50"/>
      <c r="C22" s="23">
        <f t="shared" si="2"/>
        <v>7</v>
      </c>
      <c r="D22" s="136" t="s">
        <v>69</v>
      </c>
      <c r="E22" s="137"/>
      <c r="F22" s="80"/>
      <c r="G22" s="80"/>
      <c r="H22" s="80"/>
      <c r="I22" s="52" t="s">
        <v>57</v>
      </c>
      <c r="J22" s="80"/>
      <c r="K22" s="80"/>
      <c r="L22" s="80"/>
      <c r="M22" s="80"/>
    </row>
    <row r="23" spans="1:13" ht="19.5" customHeight="1" x14ac:dyDescent="0.15">
      <c r="A23" s="43"/>
      <c r="B23" s="50"/>
      <c r="C23" s="23">
        <f t="shared" si="2"/>
        <v>8</v>
      </c>
      <c r="D23" s="136"/>
      <c r="E23" s="137"/>
      <c r="F23" s="52"/>
      <c r="G23" s="42"/>
      <c r="H23" s="42"/>
      <c r="I23" s="52"/>
      <c r="J23" s="52"/>
      <c r="K23" s="42"/>
      <c r="L23" s="52"/>
      <c r="M23" s="52"/>
    </row>
    <row r="24" spans="1:13" ht="19.5" customHeight="1" x14ac:dyDescent="0.15">
      <c r="A24" s="43"/>
      <c r="B24" s="50"/>
      <c r="C24" s="23">
        <f t="shared" si="2"/>
        <v>9</v>
      </c>
      <c r="D24" s="79" t="s">
        <v>88</v>
      </c>
      <c r="E24" s="35"/>
      <c r="F24" s="36"/>
      <c r="G24" s="36"/>
      <c r="H24" s="36"/>
      <c r="I24" s="36"/>
      <c r="J24" s="36"/>
      <c r="K24" s="36"/>
      <c r="L24" s="36"/>
      <c r="M24" s="36"/>
    </row>
    <row r="25" spans="1:13" ht="19.5" customHeight="1" x14ac:dyDescent="0.15">
      <c r="A25" s="43"/>
      <c r="B25" s="50"/>
      <c r="C25" s="23">
        <f t="shared" si="2"/>
        <v>10</v>
      </c>
      <c r="D25" s="136" t="s">
        <v>89</v>
      </c>
      <c r="E25" s="137"/>
      <c r="F25" s="80" t="s">
        <v>57</v>
      </c>
      <c r="G25" s="52"/>
      <c r="H25" s="52"/>
      <c r="I25" s="52"/>
      <c r="J25" s="42"/>
      <c r="K25" s="52"/>
      <c r="L25" s="52"/>
      <c r="M25" s="42"/>
    </row>
    <row r="26" spans="1:13" ht="19.5" customHeight="1" x14ac:dyDescent="0.15">
      <c r="A26" s="43"/>
      <c r="B26" s="50"/>
      <c r="C26" s="23">
        <f t="shared" si="2"/>
        <v>11</v>
      </c>
      <c r="D26" s="136" t="s">
        <v>55</v>
      </c>
      <c r="E26" s="137"/>
      <c r="F26" s="52"/>
      <c r="G26" s="52" t="s">
        <v>57</v>
      </c>
      <c r="H26" s="52"/>
      <c r="I26" s="52"/>
      <c r="J26" s="42"/>
      <c r="K26" s="52"/>
      <c r="L26" s="52"/>
      <c r="M26" s="42"/>
    </row>
    <row r="27" spans="1:13" ht="19.5" customHeight="1" x14ac:dyDescent="0.15">
      <c r="A27" s="43"/>
      <c r="B27" s="50"/>
      <c r="C27" s="23">
        <f t="shared" si="2"/>
        <v>12</v>
      </c>
      <c r="D27" s="136" t="s">
        <v>90</v>
      </c>
      <c r="E27" s="137"/>
      <c r="F27" s="52"/>
      <c r="G27" s="52"/>
      <c r="H27" s="52" t="s">
        <v>57</v>
      </c>
      <c r="I27" s="52"/>
      <c r="J27" s="42"/>
      <c r="K27" s="52"/>
      <c r="L27" s="52"/>
      <c r="M27" s="42"/>
    </row>
    <row r="28" spans="1:13" ht="19.5" customHeight="1" x14ac:dyDescent="0.15">
      <c r="A28" s="43"/>
      <c r="B28" s="50"/>
      <c r="C28" s="23">
        <f t="shared" si="2"/>
        <v>13</v>
      </c>
      <c r="D28" s="136"/>
      <c r="E28" s="137"/>
      <c r="F28" s="58"/>
      <c r="G28" s="42"/>
      <c r="H28" s="42"/>
      <c r="I28" s="42"/>
      <c r="J28" s="42"/>
      <c r="K28" s="42"/>
      <c r="L28" s="42"/>
      <c r="M28" s="42"/>
    </row>
    <row r="29" spans="1:13" ht="20.100000000000001" customHeight="1" x14ac:dyDescent="0.15">
      <c r="A29" s="43"/>
      <c r="B29" s="53"/>
      <c r="C29" s="54"/>
      <c r="D29" s="59"/>
      <c r="E29" s="60"/>
      <c r="F29" s="61"/>
      <c r="G29" s="57"/>
      <c r="H29" s="57"/>
      <c r="I29" s="57"/>
      <c r="J29" s="57"/>
      <c r="K29" s="57"/>
      <c r="L29" s="57"/>
      <c r="M29" s="57"/>
    </row>
    <row r="30" spans="1:13" ht="20.100000000000001" customHeight="1" x14ac:dyDescent="0.15">
      <c r="A30" s="43"/>
      <c r="B30" s="44"/>
      <c r="C30" s="62" t="s">
        <v>34</v>
      </c>
      <c r="D30" s="45" t="s">
        <v>37</v>
      </c>
      <c r="E30" s="63"/>
      <c r="F30" s="48"/>
      <c r="G30" s="48"/>
      <c r="H30" s="48"/>
      <c r="I30" s="48"/>
      <c r="J30" s="48"/>
      <c r="K30" s="48"/>
      <c r="L30" s="48"/>
      <c r="M30" s="48"/>
    </row>
    <row r="31" spans="1:13" ht="20.100000000000001" customHeight="1" x14ac:dyDescent="0.15">
      <c r="A31" s="43"/>
      <c r="B31" s="64" t="s">
        <v>38</v>
      </c>
      <c r="C31" s="65">
        <v>1</v>
      </c>
      <c r="D31" s="38"/>
      <c r="E31" s="66" t="s">
        <v>39</v>
      </c>
      <c r="F31" s="66"/>
      <c r="G31" s="66"/>
      <c r="H31" s="66"/>
      <c r="I31" s="66"/>
      <c r="J31" s="66"/>
      <c r="K31" s="66"/>
      <c r="L31" s="66"/>
      <c r="M31" s="66"/>
    </row>
    <row r="32" spans="1:13" ht="20.100000000000001" customHeight="1" x14ac:dyDescent="0.15">
      <c r="A32" s="43"/>
      <c r="B32" s="64"/>
      <c r="C32" s="65"/>
      <c r="D32" s="67"/>
      <c r="E32" s="68" t="s">
        <v>40</v>
      </c>
      <c r="F32" s="68"/>
      <c r="G32" s="68"/>
      <c r="H32" s="68"/>
      <c r="I32" s="68"/>
      <c r="J32" s="68"/>
      <c r="K32" s="68"/>
      <c r="L32" s="68"/>
      <c r="M32" s="68"/>
    </row>
    <row r="33" spans="1:13" ht="20.100000000000001" customHeight="1" x14ac:dyDescent="0.15">
      <c r="A33" s="43"/>
      <c r="B33" s="64"/>
      <c r="C33" s="69">
        <v>2</v>
      </c>
      <c r="D33" s="70"/>
      <c r="E33" s="66" t="s">
        <v>39</v>
      </c>
      <c r="F33" s="66"/>
      <c r="G33" s="66"/>
      <c r="H33" s="66"/>
      <c r="I33" s="66"/>
      <c r="J33" s="66"/>
      <c r="K33" s="66"/>
      <c r="L33" s="66"/>
      <c r="M33" s="66"/>
    </row>
    <row r="34" spans="1:13" ht="20.100000000000001" customHeight="1" x14ac:dyDescent="0.15">
      <c r="A34" s="43"/>
      <c r="B34" s="64"/>
      <c r="C34" s="71"/>
      <c r="D34" s="72"/>
      <c r="E34" s="68" t="s">
        <v>40</v>
      </c>
      <c r="F34" s="68"/>
      <c r="G34" s="68"/>
      <c r="H34" s="68"/>
      <c r="I34" s="68"/>
      <c r="J34" s="68"/>
      <c r="K34" s="68"/>
      <c r="L34" s="68"/>
      <c r="M34" s="68"/>
    </row>
    <row r="35" spans="1:13" ht="20.100000000000001" customHeight="1" x14ac:dyDescent="0.15">
      <c r="A35" s="43"/>
      <c r="B35" s="64"/>
      <c r="C35" s="69">
        <v>3</v>
      </c>
      <c r="D35" s="70"/>
      <c r="E35" s="66" t="s">
        <v>39</v>
      </c>
      <c r="F35" s="66"/>
      <c r="G35" s="66"/>
      <c r="H35" s="66"/>
      <c r="I35" s="66"/>
      <c r="J35" s="66"/>
      <c r="K35" s="66"/>
      <c r="L35" s="66"/>
      <c r="M35" s="66"/>
    </row>
    <row r="36" spans="1:13" ht="20.100000000000001" customHeight="1" x14ac:dyDescent="0.15">
      <c r="A36" s="43"/>
      <c r="B36" s="64"/>
      <c r="C36" s="71"/>
      <c r="D36" s="72"/>
      <c r="E36" s="68" t="s">
        <v>40</v>
      </c>
      <c r="F36" s="68"/>
      <c r="G36" s="68"/>
      <c r="H36" s="68"/>
      <c r="I36" s="68"/>
      <c r="J36" s="68"/>
      <c r="K36" s="68"/>
      <c r="L36" s="68"/>
      <c r="M36" s="68"/>
    </row>
    <row r="37" spans="1:13" ht="20.100000000000001" customHeight="1" x14ac:dyDescent="0.15">
      <c r="A37" s="43"/>
      <c r="B37" s="64"/>
      <c r="C37" s="69">
        <v>4</v>
      </c>
      <c r="D37" s="70"/>
      <c r="E37" s="66" t="s">
        <v>39</v>
      </c>
      <c r="F37" s="66"/>
      <c r="G37" s="66"/>
      <c r="H37" s="66"/>
      <c r="I37" s="66"/>
      <c r="J37" s="66"/>
      <c r="K37" s="66"/>
      <c r="L37" s="66"/>
      <c r="M37" s="66"/>
    </row>
    <row r="38" spans="1:13" ht="9.9499999999999993" customHeight="1" x14ac:dyDescent="0.15">
      <c r="A38" s="43"/>
      <c r="B38" s="64"/>
      <c r="C38" s="71"/>
      <c r="D38" s="72"/>
      <c r="E38" s="68" t="s">
        <v>40</v>
      </c>
      <c r="F38" s="68"/>
      <c r="G38" s="68"/>
      <c r="H38" s="68"/>
      <c r="I38" s="68"/>
      <c r="J38" s="68"/>
      <c r="K38" s="68"/>
      <c r="L38" s="68"/>
      <c r="M38" s="68"/>
    </row>
    <row r="39" spans="1:13" ht="20.100000000000001" customHeight="1" x14ac:dyDescent="0.15">
      <c r="A39" s="43"/>
      <c r="B39" s="64"/>
      <c r="C39" s="69">
        <v>5</v>
      </c>
      <c r="D39" s="70"/>
      <c r="E39" s="66" t="s">
        <v>39</v>
      </c>
      <c r="F39" s="66"/>
      <c r="G39" s="66"/>
      <c r="H39" s="66"/>
      <c r="I39" s="66"/>
      <c r="J39" s="66"/>
      <c r="K39" s="66"/>
      <c r="L39" s="66"/>
      <c r="M39" s="66"/>
    </row>
    <row r="40" spans="1:13" ht="20.100000000000001" customHeight="1" x14ac:dyDescent="0.15">
      <c r="A40" s="43"/>
      <c r="B40" s="64"/>
      <c r="C40" s="71"/>
      <c r="D40" s="72"/>
      <c r="E40" s="68" t="s">
        <v>40</v>
      </c>
      <c r="F40" s="68"/>
      <c r="G40" s="68"/>
      <c r="H40" s="68"/>
      <c r="I40" s="68"/>
      <c r="J40" s="68"/>
      <c r="K40" s="68"/>
      <c r="L40" s="68"/>
      <c r="M40" s="68"/>
    </row>
    <row r="41" spans="1:13" ht="30" customHeight="1" x14ac:dyDescent="0.15">
      <c r="A41" s="43"/>
      <c r="B41" s="64"/>
      <c r="C41" s="69">
        <v>6</v>
      </c>
      <c r="D41" s="70"/>
      <c r="E41" s="66" t="s">
        <v>39</v>
      </c>
      <c r="F41" s="66"/>
      <c r="G41" s="66"/>
      <c r="H41" s="66"/>
      <c r="I41" s="66"/>
      <c r="J41" s="66"/>
      <c r="K41" s="66"/>
      <c r="L41" s="66"/>
      <c r="M41" s="66"/>
    </row>
    <row r="42" spans="1:13" ht="30" customHeight="1" x14ac:dyDescent="0.15">
      <c r="A42" s="43"/>
      <c r="B42" s="64"/>
      <c r="C42" s="71"/>
      <c r="D42" s="72"/>
      <c r="E42" s="68" t="s">
        <v>40</v>
      </c>
      <c r="F42" s="68"/>
      <c r="G42" s="68"/>
      <c r="H42" s="68"/>
      <c r="I42" s="68"/>
      <c r="J42" s="68"/>
      <c r="K42" s="68"/>
      <c r="L42" s="68"/>
      <c r="M42" s="68"/>
    </row>
    <row r="43" spans="1:13" ht="30" customHeight="1" x14ac:dyDescent="0.15">
      <c r="A43" s="43"/>
      <c r="B43" s="64"/>
      <c r="C43" s="69">
        <v>7</v>
      </c>
      <c r="D43" s="70"/>
      <c r="E43" s="66" t="s">
        <v>39</v>
      </c>
      <c r="F43" s="66"/>
      <c r="G43" s="66"/>
      <c r="H43" s="66"/>
      <c r="I43" s="66"/>
      <c r="J43" s="66"/>
      <c r="K43" s="66"/>
      <c r="L43" s="66"/>
      <c r="M43" s="66"/>
    </row>
    <row r="44" spans="1:13" ht="30" customHeight="1" x14ac:dyDescent="0.15">
      <c r="A44" s="43"/>
      <c r="B44" s="64"/>
      <c r="C44" s="71"/>
      <c r="D44" s="72"/>
      <c r="E44" s="68" t="s">
        <v>40</v>
      </c>
      <c r="F44" s="68"/>
      <c r="G44" s="68"/>
      <c r="H44" s="68"/>
      <c r="I44" s="68"/>
      <c r="J44" s="68"/>
      <c r="K44" s="68"/>
      <c r="L44" s="68"/>
      <c r="M44" s="68"/>
    </row>
    <row r="45" spans="1:13" ht="30" customHeight="1" x14ac:dyDescent="0.15">
      <c r="A45" s="43"/>
      <c r="B45" s="64"/>
      <c r="C45" s="69">
        <v>8</v>
      </c>
      <c r="D45" s="70"/>
      <c r="E45" s="66" t="s">
        <v>39</v>
      </c>
      <c r="F45" s="66"/>
      <c r="G45" s="66"/>
      <c r="H45" s="66"/>
      <c r="I45" s="66"/>
      <c r="J45" s="66"/>
      <c r="K45" s="66"/>
      <c r="L45" s="66"/>
      <c r="M45" s="66"/>
    </row>
    <row r="46" spans="1:13" ht="30" customHeight="1" x14ac:dyDescent="0.15">
      <c r="A46" s="43"/>
      <c r="B46" s="64"/>
      <c r="C46" s="71"/>
      <c r="D46" s="72"/>
      <c r="E46" s="68" t="s">
        <v>40</v>
      </c>
      <c r="F46" s="68"/>
      <c r="G46" s="68"/>
      <c r="H46" s="68"/>
      <c r="I46" s="68"/>
      <c r="J46" s="68"/>
      <c r="K46" s="68"/>
      <c r="L46" s="68"/>
      <c r="M46" s="68"/>
    </row>
    <row r="47" spans="1:13" ht="30" customHeight="1" x14ac:dyDescent="0.15">
      <c r="A47" s="43"/>
      <c r="B47" s="53"/>
      <c r="C47" s="54"/>
      <c r="D47" s="59"/>
      <c r="E47" s="59"/>
      <c r="F47" s="57"/>
      <c r="G47" s="57"/>
      <c r="H47" s="57"/>
      <c r="I47" s="57"/>
      <c r="J47" s="57"/>
      <c r="K47" s="57"/>
      <c r="L47" s="57"/>
      <c r="M47" s="57"/>
    </row>
    <row r="48" spans="1:13" ht="30" customHeight="1" x14ac:dyDescent="0.15">
      <c r="A48" s="78"/>
      <c r="B48" s="73" t="s">
        <v>41</v>
      </c>
      <c r="C48" s="59"/>
      <c r="D48" s="59" t="s">
        <v>42</v>
      </c>
      <c r="E48" s="49"/>
      <c r="F48" s="42"/>
      <c r="G48" s="42"/>
      <c r="H48" s="42"/>
      <c r="I48" s="42"/>
      <c r="J48" s="42"/>
      <c r="K48" s="42"/>
      <c r="L48" s="42"/>
      <c r="M48" s="42"/>
    </row>
    <row r="49" spans="1:13" ht="30" customHeight="1" x14ac:dyDescent="0.15">
      <c r="A49" s="135"/>
      <c r="B49" s="135"/>
      <c r="C49" s="74"/>
      <c r="D49" s="14"/>
      <c r="E49" s="75"/>
      <c r="F49" s="76"/>
      <c r="G49" s="76"/>
      <c r="H49" s="76"/>
      <c r="I49" s="76"/>
      <c r="J49" s="76"/>
      <c r="K49" s="76"/>
      <c r="L49" s="76"/>
      <c r="M49" s="76"/>
    </row>
  </sheetData>
  <mergeCells count="17">
    <mergeCell ref="A49:B49"/>
    <mergeCell ref="D6:E6"/>
    <mergeCell ref="D7:E7"/>
    <mergeCell ref="D10:E10"/>
    <mergeCell ref="D11:E11"/>
    <mergeCell ref="D12:E12"/>
    <mergeCell ref="D13:E13"/>
    <mergeCell ref="D17:E17"/>
    <mergeCell ref="D18:E18"/>
    <mergeCell ref="D19:E19"/>
    <mergeCell ref="D28:E28"/>
    <mergeCell ref="D21:E21"/>
    <mergeCell ref="D22:E22"/>
    <mergeCell ref="D23:E23"/>
    <mergeCell ref="D25:E25"/>
    <mergeCell ref="D26:E26"/>
    <mergeCell ref="D27:E27"/>
  </mergeCells>
  <phoneticPr fontId="5"/>
  <printOptions horizontalCentered="1"/>
  <pageMargins left="0.27559055118110237" right="0.27559055118110237" top="0.59055118110236227" bottom="0.39370078740157483" header="0.39370078740157483" footer="0.19685039370078741"/>
  <pageSetup paperSize="9" scale="63" fitToHeight="0" orientation="landscape" r:id="rId1"/>
  <headerFooter alignWithMargins="0">
    <oddHeader>&amp;L&amp;"ＭＳ ゴシック,太字"&amp;18&amp;A</oddHeader>
    <oddFooter>&amp;L&amp;"ＭＳ Ｐゴシック,標準"&amp;9（ES0402-F01_単体テスト仕様書兼結果報告書 20161003 Ver.1.2）&amp;C&amp;"ＭＳ Ｐゴシック,標準"&amp;9&amp;P / &amp;N&amp;R&amp;"ＭＳ Ｐゴシック,標準"&amp;9Copyright© 2013 SCSK Corporation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DC08D-8B09-43C6-B432-E4D52108C0F1}">
  <dimension ref="A2:S78"/>
  <sheetViews>
    <sheetView workbookViewId="0"/>
  </sheetViews>
  <sheetFormatPr defaultRowHeight="13.5" x14ac:dyDescent="0.15"/>
  <cols>
    <col min="1" max="2" width="17.875" style="141" bestFit="1" customWidth="1"/>
    <col min="3" max="3" width="15.125" style="141" customWidth="1"/>
    <col min="4" max="4" width="24" style="141" customWidth="1"/>
    <col min="5" max="5" width="20.5" style="141" bestFit="1" customWidth="1"/>
    <col min="6" max="6" width="18.375" style="141" bestFit="1" customWidth="1"/>
    <col min="7" max="7" width="22.75" style="141" bestFit="1" customWidth="1"/>
    <col min="8" max="8" width="27.25" style="141" bestFit="1" customWidth="1"/>
    <col min="9" max="9" width="23.875" style="141" bestFit="1" customWidth="1"/>
    <col min="10" max="10" width="9" style="141"/>
    <col min="11" max="11" width="11.625" style="141" bestFit="1" customWidth="1"/>
    <col min="12" max="13" width="9" style="141"/>
    <col min="14" max="14" width="23.875" style="141" bestFit="1" customWidth="1"/>
    <col min="15" max="15" width="13.875" style="141" bestFit="1" customWidth="1"/>
    <col min="16" max="16" width="9" style="141"/>
    <col min="17" max="18" width="13.875" style="141" bestFit="1" customWidth="1"/>
    <col min="19" max="16384" width="9" style="141"/>
  </cols>
  <sheetData>
    <row r="2" spans="1:16" x14ac:dyDescent="0.15">
      <c r="C2" s="140" t="s">
        <v>152</v>
      </c>
    </row>
    <row r="3" spans="1:16" x14ac:dyDescent="0.15">
      <c r="C3" s="140" t="s">
        <v>126</v>
      </c>
      <c r="M3" s="142" t="s">
        <v>145</v>
      </c>
      <c r="N3" s="142" t="s">
        <v>146</v>
      </c>
      <c r="O3" s="142" t="s">
        <v>147</v>
      </c>
      <c r="P3" s="142" t="s">
        <v>148</v>
      </c>
    </row>
    <row r="4" spans="1:16" x14ac:dyDescent="0.15">
      <c r="C4" s="141" t="s">
        <v>127</v>
      </c>
      <c r="D4" s="141" t="s">
        <v>128</v>
      </c>
      <c r="M4" s="143" t="s">
        <v>149</v>
      </c>
      <c r="N4" s="143" t="s">
        <v>150</v>
      </c>
      <c r="O4" s="143" t="s">
        <v>151</v>
      </c>
      <c r="P4" s="143">
        <v>20</v>
      </c>
    </row>
    <row r="5" spans="1:16" ht="28.5" x14ac:dyDescent="0.15">
      <c r="C5" s="144" t="s">
        <v>129</v>
      </c>
      <c r="D5" s="144" t="s">
        <v>130</v>
      </c>
      <c r="E5" s="144" t="s">
        <v>131</v>
      </c>
      <c r="F5" s="144" t="s">
        <v>132</v>
      </c>
      <c r="G5" s="144" t="s">
        <v>133</v>
      </c>
      <c r="H5" s="144" t="s">
        <v>134</v>
      </c>
      <c r="I5" s="144" t="s">
        <v>135</v>
      </c>
    </row>
    <row r="6" spans="1:16" ht="28.5" customHeight="1" x14ac:dyDescent="0.15">
      <c r="C6" s="144" t="s">
        <v>143</v>
      </c>
      <c r="D6" s="144" t="s">
        <v>143</v>
      </c>
      <c r="E6" s="144" t="s">
        <v>144</v>
      </c>
      <c r="F6" s="144" t="s">
        <v>144</v>
      </c>
      <c r="G6" s="144" t="s">
        <v>144</v>
      </c>
      <c r="H6" s="144" t="s">
        <v>144</v>
      </c>
      <c r="I6" s="144" t="s">
        <v>144</v>
      </c>
    </row>
    <row r="7" spans="1:16" ht="28.5" customHeight="1" x14ac:dyDescent="0.15">
      <c r="C7" s="144" t="s">
        <v>136</v>
      </c>
      <c r="D7" s="144" t="s">
        <v>137</v>
      </c>
      <c r="E7" s="144" t="s">
        <v>138</v>
      </c>
      <c r="F7" s="144" t="s">
        <v>139</v>
      </c>
      <c r="G7" s="144" t="s">
        <v>140</v>
      </c>
      <c r="H7" s="144" t="s">
        <v>141</v>
      </c>
      <c r="I7" s="144" t="s">
        <v>142</v>
      </c>
    </row>
    <row r="8" spans="1:16" x14ac:dyDescent="0.15">
      <c r="C8" s="146" t="s">
        <v>154</v>
      </c>
      <c r="D8" s="146" t="s">
        <v>155</v>
      </c>
      <c r="E8" s="145">
        <v>1</v>
      </c>
      <c r="F8" s="145">
        <v>1</v>
      </c>
      <c r="G8" s="145">
        <v>1</v>
      </c>
      <c r="H8" s="145">
        <v>1</v>
      </c>
      <c r="I8" s="145">
        <v>0</v>
      </c>
    </row>
    <row r="12" spans="1:16" x14ac:dyDescent="0.15">
      <c r="C12" s="140" t="s">
        <v>153</v>
      </c>
    </row>
    <row r="13" spans="1:16" x14ac:dyDescent="0.15">
      <c r="C13" s="140" t="s">
        <v>126</v>
      </c>
    </row>
    <row r="14" spans="1:16" x14ac:dyDescent="0.15">
      <c r="C14" s="141" t="s">
        <v>127</v>
      </c>
      <c r="D14" s="141" t="s">
        <v>128</v>
      </c>
    </row>
    <row r="15" spans="1:16" ht="28.5" x14ac:dyDescent="0.15">
      <c r="A15" s="141" t="s">
        <v>200</v>
      </c>
      <c r="C15" s="144" t="s">
        <v>196</v>
      </c>
      <c r="D15" s="144" t="s">
        <v>197</v>
      </c>
      <c r="E15" s="144" t="s">
        <v>131</v>
      </c>
      <c r="F15" s="144" t="s">
        <v>132</v>
      </c>
      <c r="G15" s="144" t="s">
        <v>133</v>
      </c>
      <c r="H15" s="144" t="s">
        <v>134</v>
      </c>
      <c r="I15" s="144" t="s">
        <v>135</v>
      </c>
    </row>
    <row r="16" spans="1:16" ht="14.25" x14ac:dyDescent="0.15">
      <c r="C16" s="144" t="s">
        <v>143</v>
      </c>
      <c r="D16" s="144" t="s">
        <v>143</v>
      </c>
      <c r="E16" s="144" t="s">
        <v>144</v>
      </c>
      <c r="F16" s="144" t="s">
        <v>144</v>
      </c>
      <c r="G16" s="144" t="s">
        <v>144</v>
      </c>
      <c r="H16" s="144" t="s">
        <v>144</v>
      </c>
      <c r="I16" s="144" t="s">
        <v>144</v>
      </c>
    </row>
    <row r="17" spans="3:19" ht="28.5" x14ac:dyDescent="0.15">
      <c r="C17" s="144" t="s">
        <v>136</v>
      </c>
      <c r="D17" s="144" t="s">
        <v>137</v>
      </c>
      <c r="E17" s="144" t="s">
        <v>138</v>
      </c>
      <c r="F17" s="144" t="s">
        <v>139</v>
      </c>
      <c r="G17" s="144" t="s">
        <v>140</v>
      </c>
      <c r="H17" s="144" t="s">
        <v>141</v>
      </c>
      <c r="I17" s="144" t="s">
        <v>142</v>
      </c>
    </row>
    <row r="18" spans="3:19" x14ac:dyDescent="0.15">
      <c r="C18" s="146" t="s">
        <v>154</v>
      </c>
      <c r="D18" s="146" t="s">
        <v>154</v>
      </c>
      <c r="E18" s="145">
        <v>1</v>
      </c>
      <c r="F18" s="145">
        <v>1</v>
      </c>
      <c r="G18" s="145">
        <v>1</v>
      </c>
      <c r="H18" s="145">
        <v>1</v>
      </c>
      <c r="I18" s="145">
        <v>0</v>
      </c>
    </row>
    <row r="21" spans="3:19" x14ac:dyDescent="0.15">
      <c r="C21" s="140" t="s">
        <v>157</v>
      </c>
    </row>
    <row r="22" spans="3:19" x14ac:dyDescent="0.15">
      <c r="C22" s="141" t="s">
        <v>158</v>
      </c>
      <c r="D22" s="141" t="s">
        <v>159</v>
      </c>
    </row>
    <row r="23" spans="3:19" ht="42.75" x14ac:dyDescent="0.15">
      <c r="C23" s="144" t="s">
        <v>160</v>
      </c>
      <c r="D23" s="144" t="s">
        <v>161</v>
      </c>
      <c r="E23" s="144" t="s">
        <v>162</v>
      </c>
      <c r="F23" s="144" t="s">
        <v>163</v>
      </c>
      <c r="G23" s="144" t="s">
        <v>164</v>
      </c>
      <c r="H23" s="144" t="s">
        <v>165</v>
      </c>
      <c r="I23" s="144" t="s">
        <v>166</v>
      </c>
      <c r="J23" s="144" t="s">
        <v>167</v>
      </c>
      <c r="K23" s="144" t="s">
        <v>168</v>
      </c>
      <c r="L23" s="144" t="s">
        <v>169</v>
      </c>
      <c r="M23" s="144" t="s">
        <v>170</v>
      </c>
      <c r="N23" s="144" t="s">
        <v>171</v>
      </c>
      <c r="O23" s="144" t="s">
        <v>172</v>
      </c>
      <c r="P23" s="144" t="s">
        <v>173</v>
      </c>
      <c r="Q23" s="144" t="s">
        <v>174</v>
      </c>
      <c r="R23" s="144" t="s">
        <v>175</v>
      </c>
      <c r="S23" s="144" t="s">
        <v>176</v>
      </c>
    </row>
    <row r="24" spans="3:19" ht="14.25" x14ac:dyDescent="0.15">
      <c r="C24" s="144" t="s">
        <v>143</v>
      </c>
      <c r="D24" s="144" t="s">
        <v>177</v>
      </c>
      <c r="E24" s="144" t="s">
        <v>177</v>
      </c>
      <c r="F24" s="144" t="s">
        <v>178</v>
      </c>
      <c r="G24" s="144" t="s">
        <v>178</v>
      </c>
      <c r="H24" s="144" t="s">
        <v>177</v>
      </c>
      <c r="I24" s="144" t="s">
        <v>178</v>
      </c>
      <c r="J24" s="144" t="s">
        <v>177</v>
      </c>
      <c r="K24" s="144" t="s">
        <v>177</v>
      </c>
      <c r="L24" s="144" t="s">
        <v>143</v>
      </c>
      <c r="M24" s="144" t="s">
        <v>143</v>
      </c>
      <c r="N24" s="144" t="s">
        <v>177</v>
      </c>
      <c r="O24" s="144" t="s">
        <v>177</v>
      </c>
      <c r="P24" s="144" t="s">
        <v>143</v>
      </c>
      <c r="Q24" s="144" t="s">
        <v>177</v>
      </c>
      <c r="R24" s="144" t="s">
        <v>177</v>
      </c>
      <c r="S24" s="144" t="s">
        <v>143</v>
      </c>
    </row>
    <row r="25" spans="3:19" ht="42.75" x14ac:dyDescent="0.15">
      <c r="C25" s="144" t="s">
        <v>179</v>
      </c>
      <c r="D25" s="144" t="s">
        <v>180</v>
      </c>
      <c r="E25" s="144" t="s">
        <v>181</v>
      </c>
      <c r="F25" s="144" t="s">
        <v>182</v>
      </c>
      <c r="G25" s="144" t="s">
        <v>183</v>
      </c>
      <c r="H25" s="144" t="s">
        <v>184</v>
      </c>
      <c r="I25" s="144" t="s">
        <v>185</v>
      </c>
      <c r="J25" s="144" t="s">
        <v>186</v>
      </c>
      <c r="K25" s="144" t="s">
        <v>187</v>
      </c>
      <c r="L25" s="144" t="s">
        <v>188</v>
      </c>
      <c r="M25" s="144" t="s">
        <v>189</v>
      </c>
      <c r="N25" s="144" t="s">
        <v>190</v>
      </c>
      <c r="O25" s="144" t="s">
        <v>191</v>
      </c>
      <c r="P25" s="144" t="s">
        <v>192</v>
      </c>
      <c r="Q25" s="144" t="s">
        <v>193</v>
      </c>
      <c r="R25" s="144" t="s">
        <v>194</v>
      </c>
      <c r="S25" s="144" t="s">
        <v>195</v>
      </c>
    </row>
    <row r="29" spans="3:19" x14ac:dyDescent="0.15">
      <c r="C29" s="140" t="s">
        <v>198</v>
      </c>
    </row>
    <row r="30" spans="3:19" x14ac:dyDescent="0.15">
      <c r="C30" s="140" t="s">
        <v>201</v>
      </c>
    </row>
    <row r="31" spans="3:19" x14ac:dyDescent="0.15">
      <c r="C31" s="142" t="s">
        <v>145</v>
      </c>
      <c r="D31" s="142" t="s">
        <v>146</v>
      </c>
      <c r="E31" s="142" t="s">
        <v>147</v>
      </c>
      <c r="F31" s="142" t="s">
        <v>148</v>
      </c>
    </row>
    <row r="32" spans="3:19" x14ac:dyDescent="0.15">
      <c r="C32" s="143" t="s">
        <v>149</v>
      </c>
      <c r="D32" s="143" t="s">
        <v>150</v>
      </c>
      <c r="E32" s="143" t="s">
        <v>151</v>
      </c>
      <c r="F32" s="143" t="s">
        <v>203</v>
      </c>
    </row>
    <row r="33" spans="1:19" x14ac:dyDescent="0.15">
      <c r="C33" s="140"/>
    </row>
    <row r="34" spans="1:19" x14ac:dyDescent="0.15">
      <c r="C34" s="140" t="s">
        <v>126</v>
      </c>
    </row>
    <row r="35" spans="1:19" x14ac:dyDescent="0.15">
      <c r="C35" s="141" t="s">
        <v>127</v>
      </c>
      <c r="D35" s="141" t="s">
        <v>128</v>
      </c>
    </row>
    <row r="36" spans="1:19" ht="28.5" x14ac:dyDescent="0.15">
      <c r="A36" s="141" t="s">
        <v>199</v>
      </c>
      <c r="C36" s="144" t="s">
        <v>196</v>
      </c>
      <c r="D36" s="144" t="s">
        <v>197</v>
      </c>
      <c r="E36" s="144" t="s">
        <v>131</v>
      </c>
      <c r="F36" s="144" t="s">
        <v>132</v>
      </c>
      <c r="G36" s="144" t="s">
        <v>133</v>
      </c>
      <c r="H36" s="144" t="s">
        <v>134</v>
      </c>
      <c r="I36" s="144" t="s">
        <v>135</v>
      </c>
    </row>
    <row r="37" spans="1:19" ht="14.25" x14ac:dyDescent="0.15">
      <c r="C37" s="144" t="s">
        <v>143</v>
      </c>
      <c r="D37" s="144" t="s">
        <v>143</v>
      </c>
      <c r="E37" s="144" t="s">
        <v>144</v>
      </c>
      <c r="F37" s="144" t="s">
        <v>144</v>
      </c>
      <c r="G37" s="144" t="s">
        <v>144</v>
      </c>
      <c r="H37" s="144" t="s">
        <v>144</v>
      </c>
      <c r="I37" s="144" t="s">
        <v>144</v>
      </c>
    </row>
    <row r="38" spans="1:19" ht="28.5" x14ac:dyDescent="0.15">
      <c r="C38" s="144" t="s">
        <v>136</v>
      </c>
      <c r="D38" s="144" t="s">
        <v>137</v>
      </c>
      <c r="E38" s="144" t="s">
        <v>138</v>
      </c>
      <c r="F38" s="144" t="s">
        <v>139</v>
      </c>
      <c r="G38" s="144" t="s">
        <v>140</v>
      </c>
      <c r="H38" s="144" t="s">
        <v>141</v>
      </c>
      <c r="I38" s="144" t="s">
        <v>142</v>
      </c>
    </row>
    <row r="39" spans="1:19" x14ac:dyDescent="0.15">
      <c r="C39" s="146" t="s">
        <v>155</v>
      </c>
      <c r="D39" s="146" t="s">
        <v>154</v>
      </c>
      <c r="E39" s="145">
        <v>1</v>
      </c>
      <c r="F39" s="145">
        <v>1</v>
      </c>
      <c r="G39" s="145">
        <v>1</v>
      </c>
      <c r="H39" s="145">
        <v>1</v>
      </c>
      <c r="I39" s="145">
        <v>0</v>
      </c>
    </row>
    <row r="42" spans="1:19" x14ac:dyDescent="0.15">
      <c r="C42" s="140" t="s">
        <v>157</v>
      </c>
    </row>
    <row r="43" spans="1:19" x14ac:dyDescent="0.15">
      <c r="C43" s="141" t="s">
        <v>158</v>
      </c>
      <c r="D43" s="141" t="s">
        <v>159</v>
      </c>
    </row>
    <row r="44" spans="1:19" ht="42.75" x14ac:dyDescent="0.15">
      <c r="C44" s="144" t="s">
        <v>160</v>
      </c>
      <c r="D44" s="144" t="s">
        <v>161</v>
      </c>
      <c r="E44" s="144" t="s">
        <v>162</v>
      </c>
      <c r="F44" s="144" t="s">
        <v>163</v>
      </c>
      <c r="G44" s="144" t="s">
        <v>164</v>
      </c>
      <c r="H44" s="144" t="s">
        <v>165</v>
      </c>
      <c r="I44" s="144" t="s">
        <v>166</v>
      </c>
      <c r="J44" s="144" t="s">
        <v>167</v>
      </c>
      <c r="K44" s="144" t="s">
        <v>168</v>
      </c>
      <c r="L44" s="144" t="s">
        <v>169</v>
      </c>
      <c r="M44" s="144" t="s">
        <v>170</v>
      </c>
      <c r="N44" s="144" t="s">
        <v>171</v>
      </c>
      <c r="O44" s="144" t="s">
        <v>172</v>
      </c>
      <c r="P44" s="144" t="s">
        <v>173</v>
      </c>
      <c r="Q44" s="144" t="s">
        <v>174</v>
      </c>
      <c r="R44" s="144" t="s">
        <v>175</v>
      </c>
      <c r="S44" s="144" t="s">
        <v>176</v>
      </c>
    </row>
    <row r="45" spans="1:19" ht="14.25" x14ac:dyDescent="0.15">
      <c r="C45" s="144" t="s">
        <v>143</v>
      </c>
      <c r="D45" s="144" t="s">
        <v>177</v>
      </c>
      <c r="E45" s="144" t="s">
        <v>177</v>
      </c>
      <c r="F45" s="144" t="s">
        <v>178</v>
      </c>
      <c r="G45" s="144" t="s">
        <v>178</v>
      </c>
      <c r="H45" s="144" t="s">
        <v>177</v>
      </c>
      <c r="I45" s="144" t="s">
        <v>178</v>
      </c>
      <c r="J45" s="144" t="s">
        <v>177</v>
      </c>
      <c r="K45" s="144" t="s">
        <v>177</v>
      </c>
      <c r="L45" s="144" t="s">
        <v>143</v>
      </c>
      <c r="M45" s="144" t="s">
        <v>143</v>
      </c>
      <c r="N45" s="144" t="s">
        <v>177</v>
      </c>
      <c r="O45" s="144" t="s">
        <v>177</v>
      </c>
      <c r="P45" s="144" t="s">
        <v>143</v>
      </c>
      <c r="Q45" s="144" t="s">
        <v>177</v>
      </c>
      <c r="R45" s="144" t="s">
        <v>177</v>
      </c>
      <c r="S45" s="144" t="s">
        <v>143</v>
      </c>
    </row>
    <row r="46" spans="1:19" ht="42.75" x14ac:dyDescent="0.15">
      <c r="C46" s="144" t="s">
        <v>179</v>
      </c>
      <c r="D46" s="144" t="s">
        <v>180</v>
      </c>
      <c r="E46" s="144" t="s">
        <v>181</v>
      </c>
      <c r="F46" s="144" t="s">
        <v>182</v>
      </c>
      <c r="G46" s="144" t="s">
        <v>183</v>
      </c>
      <c r="H46" s="144" t="s">
        <v>184</v>
      </c>
      <c r="I46" s="144" t="s">
        <v>185</v>
      </c>
      <c r="J46" s="144" t="s">
        <v>186</v>
      </c>
      <c r="K46" s="144" t="s">
        <v>187</v>
      </c>
      <c r="L46" s="144" t="s">
        <v>188</v>
      </c>
      <c r="M46" s="144" t="s">
        <v>189</v>
      </c>
      <c r="N46" s="144" t="s">
        <v>190</v>
      </c>
      <c r="O46" s="144" t="s">
        <v>191</v>
      </c>
      <c r="P46" s="144" t="s">
        <v>192</v>
      </c>
      <c r="Q46" s="144" t="s">
        <v>193</v>
      </c>
      <c r="R46" s="144" t="s">
        <v>194</v>
      </c>
      <c r="S46" s="144" t="s">
        <v>195</v>
      </c>
    </row>
    <row r="47" spans="1:19" x14ac:dyDescent="0.15">
      <c r="C47" s="145" t="s">
        <v>204</v>
      </c>
      <c r="D47" s="145" t="s">
        <v>225</v>
      </c>
      <c r="E47" s="145" t="s">
        <v>209</v>
      </c>
      <c r="F47" s="145" t="s">
        <v>214</v>
      </c>
      <c r="G47" s="145" t="s">
        <v>210</v>
      </c>
      <c r="H47" s="145" t="s">
        <v>211</v>
      </c>
      <c r="I47" s="145" t="s">
        <v>212</v>
      </c>
      <c r="J47" s="145" t="s">
        <v>208</v>
      </c>
      <c r="K47" s="145" t="s">
        <v>224</v>
      </c>
      <c r="L47" s="145" t="s">
        <v>204</v>
      </c>
      <c r="M47" s="145" t="s">
        <v>225</v>
      </c>
      <c r="N47" s="147" t="s">
        <v>228</v>
      </c>
      <c r="O47" s="145" t="s">
        <v>229</v>
      </c>
      <c r="P47" s="145" t="s">
        <v>225</v>
      </c>
      <c r="Q47" s="147" t="s">
        <v>227</v>
      </c>
      <c r="R47" s="145" t="s">
        <v>230</v>
      </c>
      <c r="S47" s="145" t="s">
        <v>225</v>
      </c>
    </row>
    <row r="48" spans="1:19" x14ac:dyDescent="0.15">
      <c r="C48" s="145" t="s">
        <v>156</v>
      </c>
      <c r="D48" s="145" t="s">
        <v>225</v>
      </c>
      <c r="E48" s="145" t="s">
        <v>209</v>
      </c>
      <c r="F48" s="145" t="s">
        <v>213</v>
      </c>
      <c r="G48" s="145" t="s">
        <v>210</v>
      </c>
      <c r="H48" s="145" t="s">
        <v>211</v>
      </c>
      <c r="I48" s="145" t="s">
        <v>219</v>
      </c>
      <c r="J48" s="145" t="s">
        <v>208</v>
      </c>
      <c r="K48" s="145" t="s">
        <v>224</v>
      </c>
      <c r="L48" s="145" t="s">
        <v>204</v>
      </c>
      <c r="M48" s="145" t="s">
        <v>225</v>
      </c>
      <c r="N48" s="147" t="s">
        <v>226</v>
      </c>
      <c r="O48" s="145" t="s">
        <v>229</v>
      </c>
      <c r="P48" s="145" t="s">
        <v>225</v>
      </c>
      <c r="Q48" s="147" t="s">
        <v>227</v>
      </c>
      <c r="R48" s="145" t="s">
        <v>230</v>
      </c>
      <c r="S48" s="145" t="s">
        <v>225</v>
      </c>
    </row>
    <row r="49" spans="1:19" x14ac:dyDescent="0.15">
      <c r="C49" s="145" t="s">
        <v>205</v>
      </c>
      <c r="D49" s="145" t="s">
        <v>225</v>
      </c>
      <c r="E49" s="145" t="s">
        <v>209</v>
      </c>
      <c r="F49" s="145" t="s">
        <v>215</v>
      </c>
      <c r="G49" s="145" t="s">
        <v>210</v>
      </c>
      <c r="H49" s="145" t="s">
        <v>211</v>
      </c>
      <c r="I49" s="145" t="s">
        <v>220</v>
      </c>
      <c r="J49" s="145" t="s">
        <v>208</v>
      </c>
      <c r="K49" s="145" t="s">
        <v>224</v>
      </c>
      <c r="L49" s="145" t="s">
        <v>204</v>
      </c>
      <c r="M49" s="145" t="s">
        <v>225</v>
      </c>
      <c r="N49" s="147" t="s">
        <v>226</v>
      </c>
      <c r="O49" s="145" t="s">
        <v>229</v>
      </c>
      <c r="P49" s="145" t="s">
        <v>225</v>
      </c>
      <c r="Q49" s="147" t="s">
        <v>227</v>
      </c>
      <c r="R49" s="145" t="s">
        <v>230</v>
      </c>
      <c r="S49" s="145" t="s">
        <v>225</v>
      </c>
    </row>
    <row r="50" spans="1:19" x14ac:dyDescent="0.15">
      <c r="C50" s="145" t="s">
        <v>206</v>
      </c>
      <c r="D50" s="145" t="s">
        <v>225</v>
      </c>
      <c r="E50" s="145" t="s">
        <v>209</v>
      </c>
      <c r="F50" s="145" t="s">
        <v>216</v>
      </c>
      <c r="G50" s="145" t="s">
        <v>210</v>
      </c>
      <c r="H50" s="145" t="s">
        <v>211</v>
      </c>
      <c r="I50" s="145" t="s">
        <v>221</v>
      </c>
      <c r="J50" s="145" t="s">
        <v>208</v>
      </c>
      <c r="K50" s="145" t="s">
        <v>224</v>
      </c>
      <c r="L50" s="145" t="s">
        <v>204</v>
      </c>
      <c r="M50" s="145" t="s">
        <v>225</v>
      </c>
      <c r="N50" s="147" t="s">
        <v>226</v>
      </c>
      <c r="O50" s="145" t="s">
        <v>229</v>
      </c>
      <c r="P50" s="145" t="s">
        <v>225</v>
      </c>
      <c r="Q50" s="147" t="s">
        <v>227</v>
      </c>
      <c r="R50" s="145" t="s">
        <v>230</v>
      </c>
      <c r="S50" s="145" t="s">
        <v>225</v>
      </c>
    </row>
    <row r="51" spans="1:19" x14ac:dyDescent="0.15">
      <c r="C51" s="145" t="s">
        <v>202</v>
      </c>
      <c r="D51" s="145" t="s">
        <v>225</v>
      </c>
      <c r="E51" s="145" t="s">
        <v>209</v>
      </c>
      <c r="F51" s="145" t="s">
        <v>217</v>
      </c>
      <c r="G51" s="145" t="s">
        <v>210</v>
      </c>
      <c r="H51" s="145" t="s">
        <v>211</v>
      </c>
      <c r="I51" s="145" t="s">
        <v>222</v>
      </c>
      <c r="J51" s="145" t="s">
        <v>208</v>
      </c>
      <c r="K51" s="145" t="s">
        <v>224</v>
      </c>
      <c r="L51" s="145" t="s">
        <v>204</v>
      </c>
      <c r="M51" s="145" t="s">
        <v>225</v>
      </c>
      <c r="N51" s="147" t="s">
        <v>226</v>
      </c>
      <c r="O51" s="145" t="s">
        <v>229</v>
      </c>
      <c r="P51" s="145" t="s">
        <v>225</v>
      </c>
      <c r="Q51" s="147" t="s">
        <v>227</v>
      </c>
      <c r="R51" s="145" t="s">
        <v>230</v>
      </c>
      <c r="S51" s="145" t="s">
        <v>225</v>
      </c>
    </row>
    <row r="52" spans="1:19" x14ac:dyDescent="0.15">
      <c r="C52" s="145" t="s">
        <v>207</v>
      </c>
      <c r="D52" s="145" t="s">
        <v>225</v>
      </c>
      <c r="E52" s="145" t="s">
        <v>209</v>
      </c>
      <c r="F52" s="145" t="s">
        <v>218</v>
      </c>
      <c r="G52" s="145" t="s">
        <v>210</v>
      </c>
      <c r="H52" s="145" t="s">
        <v>211</v>
      </c>
      <c r="I52" s="145" t="s">
        <v>223</v>
      </c>
      <c r="J52" s="145" t="s">
        <v>208</v>
      </c>
      <c r="K52" s="145" t="s">
        <v>224</v>
      </c>
      <c r="L52" s="145" t="s">
        <v>204</v>
      </c>
      <c r="M52" s="145" t="s">
        <v>225</v>
      </c>
      <c r="N52" s="147" t="s">
        <v>226</v>
      </c>
      <c r="O52" s="145" t="s">
        <v>229</v>
      </c>
      <c r="P52" s="145" t="s">
        <v>225</v>
      </c>
      <c r="Q52" s="147" t="s">
        <v>227</v>
      </c>
      <c r="R52" s="145" t="s">
        <v>230</v>
      </c>
      <c r="S52" s="145" t="s">
        <v>225</v>
      </c>
    </row>
    <row r="56" spans="1:19" x14ac:dyDescent="0.15">
      <c r="C56" s="140" t="s">
        <v>231</v>
      </c>
    </row>
    <row r="57" spans="1:19" x14ac:dyDescent="0.15">
      <c r="C57" s="140" t="s">
        <v>201</v>
      </c>
    </row>
    <row r="58" spans="1:19" x14ac:dyDescent="0.15">
      <c r="C58" s="142" t="s">
        <v>145</v>
      </c>
      <c r="D58" s="142" t="s">
        <v>146</v>
      </c>
      <c r="E58" s="142" t="s">
        <v>147</v>
      </c>
      <c r="F58" s="142" t="s">
        <v>148</v>
      </c>
    </row>
    <row r="59" spans="1:19" x14ac:dyDescent="0.15">
      <c r="C59" s="143" t="s">
        <v>149</v>
      </c>
      <c r="D59" s="143" t="s">
        <v>150</v>
      </c>
      <c r="E59" s="143" t="s">
        <v>151</v>
      </c>
      <c r="F59" s="143" t="s">
        <v>203</v>
      </c>
    </row>
    <row r="60" spans="1:19" x14ac:dyDescent="0.15">
      <c r="C60" s="140"/>
    </row>
    <row r="61" spans="1:19" x14ac:dyDescent="0.15">
      <c r="C61" s="140" t="s">
        <v>126</v>
      </c>
    </row>
    <row r="62" spans="1:19" x14ac:dyDescent="0.15">
      <c r="C62" s="141" t="s">
        <v>127</v>
      </c>
      <c r="D62" s="141" t="s">
        <v>128</v>
      </c>
    </row>
    <row r="63" spans="1:19" ht="28.5" x14ac:dyDescent="0.15">
      <c r="A63" s="141" t="s">
        <v>199</v>
      </c>
      <c r="C63" s="144" t="s">
        <v>196</v>
      </c>
      <c r="D63" s="144" t="s">
        <v>197</v>
      </c>
      <c r="E63" s="144" t="s">
        <v>131</v>
      </c>
      <c r="F63" s="144" t="s">
        <v>132</v>
      </c>
      <c r="G63" s="144" t="s">
        <v>133</v>
      </c>
      <c r="H63" s="144" t="s">
        <v>134</v>
      </c>
      <c r="I63" s="144" t="s">
        <v>135</v>
      </c>
    </row>
    <row r="64" spans="1:19" ht="14.25" x14ac:dyDescent="0.15">
      <c r="C64" s="144" t="s">
        <v>143</v>
      </c>
      <c r="D64" s="144" t="s">
        <v>143</v>
      </c>
      <c r="E64" s="144" t="s">
        <v>144</v>
      </c>
      <c r="F64" s="144" t="s">
        <v>144</v>
      </c>
      <c r="G64" s="144" t="s">
        <v>144</v>
      </c>
      <c r="H64" s="144" t="s">
        <v>144</v>
      </c>
      <c r="I64" s="144" t="s">
        <v>144</v>
      </c>
    </row>
    <row r="65" spans="3:19" ht="28.5" x14ac:dyDescent="0.15">
      <c r="C65" s="144" t="s">
        <v>136</v>
      </c>
      <c r="D65" s="144" t="s">
        <v>137</v>
      </c>
      <c r="E65" s="144" t="s">
        <v>138</v>
      </c>
      <c r="F65" s="144" t="s">
        <v>139</v>
      </c>
      <c r="G65" s="144" t="s">
        <v>140</v>
      </c>
      <c r="H65" s="144" t="s">
        <v>141</v>
      </c>
      <c r="I65" s="144" t="s">
        <v>142</v>
      </c>
    </row>
    <row r="66" spans="3:19" x14ac:dyDescent="0.15">
      <c r="C66" s="146" t="s">
        <v>155</v>
      </c>
      <c r="D66" s="146" t="s">
        <v>154</v>
      </c>
      <c r="E66" s="145">
        <v>1</v>
      </c>
      <c r="F66" s="145">
        <v>1</v>
      </c>
      <c r="G66" s="145">
        <v>1</v>
      </c>
      <c r="H66" s="145">
        <v>1</v>
      </c>
      <c r="I66" s="145">
        <v>0</v>
      </c>
    </row>
    <row r="69" spans="3:19" x14ac:dyDescent="0.15">
      <c r="C69" s="140" t="s">
        <v>157</v>
      </c>
    </row>
    <row r="70" spans="3:19" x14ac:dyDescent="0.15">
      <c r="C70" s="141" t="s">
        <v>158</v>
      </c>
      <c r="D70" s="141" t="s">
        <v>159</v>
      </c>
    </row>
    <row r="71" spans="3:19" ht="42.75" x14ac:dyDescent="0.15">
      <c r="C71" s="144" t="s">
        <v>160</v>
      </c>
      <c r="D71" s="144" t="s">
        <v>161</v>
      </c>
      <c r="E71" s="144" t="s">
        <v>162</v>
      </c>
      <c r="F71" s="144" t="s">
        <v>163</v>
      </c>
      <c r="G71" s="144" t="s">
        <v>164</v>
      </c>
      <c r="H71" s="144" t="s">
        <v>165</v>
      </c>
      <c r="I71" s="144" t="s">
        <v>166</v>
      </c>
      <c r="J71" s="144" t="s">
        <v>167</v>
      </c>
      <c r="K71" s="144" t="s">
        <v>168</v>
      </c>
      <c r="L71" s="144" t="s">
        <v>169</v>
      </c>
      <c r="M71" s="144" t="s">
        <v>170</v>
      </c>
      <c r="N71" s="144" t="s">
        <v>171</v>
      </c>
      <c r="O71" s="144" t="s">
        <v>172</v>
      </c>
      <c r="P71" s="144" t="s">
        <v>173</v>
      </c>
      <c r="Q71" s="144" t="s">
        <v>174</v>
      </c>
      <c r="R71" s="144" t="s">
        <v>175</v>
      </c>
      <c r="S71" s="144" t="s">
        <v>176</v>
      </c>
    </row>
    <row r="72" spans="3:19" ht="14.25" x14ac:dyDescent="0.15">
      <c r="C72" s="144" t="s">
        <v>143</v>
      </c>
      <c r="D72" s="144" t="s">
        <v>177</v>
      </c>
      <c r="E72" s="144" t="s">
        <v>177</v>
      </c>
      <c r="F72" s="144" t="s">
        <v>178</v>
      </c>
      <c r="G72" s="144" t="s">
        <v>178</v>
      </c>
      <c r="H72" s="144" t="s">
        <v>177</v>
      </c>
      <c r="I72" s="144" t="s">
        <v>178</v>
      </c>
      <c r="J72" s="144" t="s">
        <v>177</v>
      </c>
      <c r="K72" s="144" t="s">
        <v>177</v>
      </c>
      <c r="L72" s="144" t="s">
        <v>143</v>
      </c>
      <c r="M72" s="144" t="s">
        <v>143</v>
      </c>
      <c r="N72" s="144" t="s">
        <v>177</v>
      </c>
      <c r="O72" s="144" t="s">
        <v>177</v>
      </c>
      <c r="P72" s="144" t="s">
        <v>143</v>
      </c>
      <c r="Q72" s="144" t="s">
        <v>177</v>
      </c>
      <c r="R72" s="144" t="s">
        <v>177</v>
      </c>
      <c r="S72" s="144" t="s">
        <v>143</v>
      </c>
    </row>
    <row r="73" spans="3:19" ht="42.75" x14ac:dyDescent="0.15">
      <c r="C73" s="144" t="s">
        <v>179</v>
      </c>
      <c r="D73" s="144" t="s">
        <v>180</v>
      </c>
      <c r="E73" s="144" t="s">
        <v>181</v>
      </c>
      <c r="F73" s="144" t="s">
        <v>182</v>
      </c>
      <c r="G73" s="144" t="s">
        <v>183</v>
      </c>
      <c r="H73" s="144" t="s">
        <v>184</v>
      </c>
      <c r="I73" s="144" t="s">
        <v>185</v>
      </c>
      <c r="J73" s="144" t="s">
        <v>186</v>
      </c>
      <c r="K73" s="144" t="s">
        <v>187</v>
      </c>
      <c r="L73" s="144" t="s">
        <v>188</v>
      </c>
      <c r="M73" s="144" t="s">
        <v>189</v>
      </c>
      <c r="N73" s="144" t="s">
        <v>190</v>
      </c>
      <c r="O73" s="144" t="s">
        <v>191</v>
      </c>
      <c r="P73" s="144" t="s">
        <v>192</v>
      </c>
      <c r="Q73" s="144" t="s">
        <v>193</v>
      </c>
      <c r="R73" s="144" t="s">
        <v>194</v>
      </c>
      <c r="S73" s="144" t="s">
        <v>195</v>
      </c>
    </row>
    <row r="74" spans="3:19" x14ac:dyDescent="0.15">
      <c r="C74" s="145" t="s">
        <v>204</v>
      </c>
      <c r="D74" s="145" t="s">
        <v>225</v>
      </c>
      <c r="E74" s="145" t="s">
        <v>209</v>
      </c>
      <c r="F74" s="145" t="s">
        <v>214</v>
      </c>
      <c r="G74" s="145" t="s">
        <v>210</v>
      </c>
      <c r="H74" s="145" t="s">
        <v>211</v>
      </c>
      <c r="I74" s="145" t="s">
        <v>212</v>
      </c>
      <c r="J74" s="145" t="s">
        <v>208</v>
      </c>
      <c r="K74" s="145" t="s">
        <v>224</v>
      </c>
      <c r="L74" s="145" t="s">
        <v>204</v>
      </c>
      <c r="M74" s="145" t="s">
        <v>225</v>
      </c>
      <c r="N74" s="147" t="s">
        <v>228</v>
      </c>
      <c r="O74" s="145" t="s">
        <v>229</v>
      </c>
      <c r="P74" s="145" t="s">
        <v>225</v>
      </c>
      <c r="Q74" s="147" t="s">
        <v>227</v>
      </c>
      <c r="R74" s="145" t="s">
        <v>230</v>
      </c>
      <c r="S74" s="145" t="s">
        <v>225</v>
      </c>
    </row>
    <row r="75" spans="3:19" x14ac:dyDescent="0.15">
      <c r="C75" s="145" t="s">
        <v>156</v>
      </c>
      <c r="D75" s="145" t="s">
        <v>225</v>
      </c>
      <c r="E75" s="145" t="s">
        <v>209</v>
      </c>
      <c r="F75" s="145" t="s">
        <v>213</v>
      </c>
      <c r="G75" s="145" t="s">
        <v>210</v>
      </c>
      <c r="H75" s="145" t="s">
        <v>211</v>
      </c>
      <c r="I75" s="145" t="s">
        <v>219</v>
      </c>
      <c r="J75" s="145" t="s">
        <v>208</v>
      </c>
      <c r="K75" s="145" t="s">
        <v>224</v>
      </c>
      <c r="L75" s="145" t="s">
        <v>204</v>
      </c>
      <c r="M75" s="145" t="s">
        <v>225</v>
      </c>
      <c r="N75" s="147" t="s">
        <v>226</v>
      </c>
      <c r="O75" s="145" t="s">
        <v>229</v>
      </c>
      <c r="P75" s="145" t="s">
        <v>225</v>
      </c>
      <c r="Q75" s="147" t="s">
        <v>227</v>
      </c>
      <c r="R75" s="145" t="s">
        <v>230</v>
      </c>
      <c r="S75" s="145" t="s">
        <v>225</v>
      </c>
    </row>
    <row r="76" spans="3:19" x14ac:dyDescent="0.15">
      <c r="C76" s="145" t="s">
        <v>205</v>
      </c>
      <c r="D76" s="145" t="s">
        <v>225</v>
      </c>
      <c r="E76" s="145" t="s">
        <v>209</v>
      </c>
      <c r="F76" s="145" t="s">
        <v>215</v>
      </c>
      <c r="G76" s="145" t="s">
        <v>210</v>
      </c>
      <c r="H76" s="145" t="s">
        <v>211</v>
      </c>
      <c r="I76" s="145" t="s">
        <v>220</v>
      </c>
      <c r="J76" s="145" t="s">
        <v>208</v>
      </c>
      <c r="K76" s="145" t="s">
        <v>224</v>
      </c>
      <c r="L76" s="145" t="s">
        <v>204</v>
      </c>
      <c r="M76" s="145" t="s">
        <v>225</v>
      </c>
      <c r="N76" s="147" t="s">
        <v>226</v>
      </c>
      <c r="O76" s="145" t="s">
        <v>229</v>
      </c>
      <c r="P76" s="145" t="s">
        <v>225</v>
      </c>
      <c r="Q76" s="147" t="s">
        <v>227</v>
      </c>
      <c r="R76" s="145" t="s">
        <v>230</v>
      </c>
      <c r="S76" s="145" t="s">
        <v>225</v>
      </c>
    </row>
    <row r="77" spans="3:19" x14ac:dyDescent="0.15">
      <c r="C77" s="145" t="s">
        <v>206</v>
      </c>
      <c r="D77" s="145" t="s">
        <v>225</v>
      </c>
      <c r="E77" s="145" t="s">
        <v>209</v>
      </c>
      <c r="F77" s="145" t="s">
        <v>216</v>
      </c>
      <c r="G77" s="145" t="s">
        <v>210</v>
      </c>
      <c r="H77" s="145" t="s">
        <v>211</v>
      </c>
      <c r="I77" s="145" t="s">
        <v>221</v>
      </c>
      <c r="J77" s="145" t="s">
        <v>208</v>
      </c>
      <c r="K77" s="145" t="s">
        <v>224</v>
      </c>
      <c r="L77" s="145" t="s">
        <v>204</v>
      </c>
      <c r="M77" s="145" t="s">
        <v>225</v>
      </c>
      <c r="N77" s="147" t="s">
        <v>226</v>
      </c>
      <c r="O77" s="145" t="s">
        <v>229</v>
      </c>
      <c r="P77" s="145" t="s">
        <v>225</v>
      </c>
      <c r="Q77" s="147" t="s">
        <v>227</v>
      </c>
      <c r="R77" s="145" t="s">
        <v>230</v>
      </c>
      <c r="S77" s="145" t="s">
        <v>225</v>
      </c>
    </row>
    <row r="78" spans="3:19" x14ac:dyDescent="0.15">
      <c r="C78" s="145" t="s">
        <v>202</v>
      </c>
      <c r="D78" s="145" t="s">
        <v>225</v>
      </c>
      <c r="E78" s="145" t="s">
        <v>209</v>
      </c>
      <c r="F78" s="145" t="s">
        <v>217</v>
      </c>
      <c r="G78" s="145" t="s">
        <v>210</v>
      </c>
      <c r="H78" s="145" t="s">
        <v>211</v>
      </c>
      <c r="I78" s="145" t="s">
        <v>222</v>
      </c>
      <c r="J78" s="145" t="s">
        <v>208</v>
      </c>
      <c r="K78" s="145" t="s">
        <v>224</v>
      </c>
      <c r="L78" s="145" t="s">
        <v>204</v>
      </c>
      <c r="M78" s="145" t="s">
        <v>225</v>
      </c>
      <c r="N78" s="147" t="s">
        <v>226</v>
      </c>
      <c r="O78" s="145" t="s">
        <v>229</v>
      </c>
      <c r="P78" s="145" t="s">
        <v>225</v>
      </c>
      <c r="Q78" s="147" t="s">
        <v>227</v>
      </c>
      <c r="R78" s="145" t="s">
        <v>230</v>
      </c>
      <c r="S78" s="145" t="s">
        <v>225</v>
      </c>
    </row>
  </sheetData>
  <phoneticPr fontId="5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82744-5984-4DF8-9F6A-6AEBF72A94E2}">
  <sheetPr>
    <pageSetUpPr fitToPage="1"/>
  </sheetPr>
  <dimension ref="A1:P62"/>
  <sheetViews>
    <sheetView zoomScaleNormal="100" workbookViewId="0"/>
  </sheetViews>
  <sheetFormatPr defaultColWidth="2.5" defaultRowHeight="15" customHeight="1" x14ac:dyDescent="0.15"/>
  <cols>
    <col min="1" max="1" width="1.625" style="1" customWidth="1"/>
    <col min="2" max="2" width="14.875" style="20" customWidth="1"/>
    <col min="3" max="3" width="5.375" style="21" customWidth="1"/>
    <col min="4" max="4" width="45.625" style="22" customWidth="1"/>
    <col min="5" max="16" width="5.625" style="24" customWidth="1"/>
    <col min="17" max="16384" width="2.5" style="1"/>
  </cols>
  <sheetData>
    <row r="1" spans="1:16" ht="26.25" customHeight="1" x14ac:dyDescent="0.15">
      <c r="A1" s="78"/>
      <c r="B1" s="39" t="s">
        <v>32</v>
      </c>
      <c r="C1" s="40">
        <v>3</v>
      </c>
      <c r="D1" s="41" t="s">
        <v>33</v>
      </c>
      <c r="E1" s="77">
        <f>COUNTA(F1:CP1)</f>
        <v>7</v>
      </c>
      <c r="F1" s="42">
        <v>1</v>
      </c>
      <c r="G1" s="42">
        <v>2</v>
      </c>
      <c r="H1" s="42">
        <v>3</v>
      </c>
      <c r="I1" s="42">
        <v>4</v>
      </c>
      <c r="J1" s="42">
        <v>5</v>
      </c>
      <c r="K1" s="42">
        <v>6</v>
      </c>
      <c r="L1" s="42">
        <v>7</v>
      </c>
      <c r="M1" s="42"/>
      <c r="N1" s="42"/>
      <c r="O1" s="42"/>
      <c r="P1" s="42"/>
    </row>
    <row r="2" spans="1:16" ht="20.100000000000001" customHeight="1" x14ac:dyDescent="0.15">
      <c r="A2" s="43"/>
      <c r="B2" s="44"/>
      <c r="C2" s="45" t="s">
        <v>34</v>
      </c>
      <c r="D2" s="46" t="s">
        <v>35</v>
      </c>
      <c r="E2" s="47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</row>
    <row r="3" spans="1:16" ht="20.100000000000001" customHeight="1" x14ac:dyDescent="0.15">
      <c r="A3" s="43"/>
      <c r="B3" s="50"/>
      <c r="C3" s="23">
        <v>1</v>
      </c>
      <c r="D3" s="79" t="s">
        <v>81</v>
      </c>
      <c r="E3" s="35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</row>
    <row r="4" spans="1:16" ht="20.100000000000001" customHeight="1" x14ac:dyDescent="0.15">
      <c r="A4" s="43"/>
      <c r="B4" s="50"/>
      <c r="C4" s="23">
        <f>C3+1</f>
        <v>2</v>
      </c>
      <c r="D4" s="79" t="s">
        <v>94</v>
      </c>
      <c r="E4" s="35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</row>
    <row r="5" spans="1:16" ht="20.100000000000001" customHeight="1" x14ac:dyDescent="0.15">
      <c r="A5" s="43"/>
      <c r="B5" s="50"/>
      <c r="C5" s="23">
        <f t="shared" ref="C5:C21" si="0">C4+1</f>
        <v>3</v>
      </c>
      <c r="D5" s="51" t="s">
        <v>92</v>
      </c>
      <c r="E5" s="8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</row>
    <row r="6" spans="1:16" ht="20.100000000000001" customHeight="1" x14ac:dyDescent="0.15">
      <c r="A6" s="43"/>
      <c r="B6" s="50"/>
      <c r="C6" s="23">
        <f t="shared" si="0"/>
        <v>4</v>
      </c>
      <c r="D6" s="136" t="s">
        <v>77</v>
      </c>
      <c r="E6" s="137"/>
      <c r="F6" s="52" t="s">
        <v>58</v>
      </c>
      <c r="G6" s="52"/>
      <c r="H6" s="52"/>
      <c r="I6" s="42"/>
      <c r="J6" s="52"/>
      <c r="K6" s="52"/>
      <c r="L6" s="42"/>
      <c r="M6" s="42"/>
      <c r="N6" s="52"/>
      <c r="O6" s="52"/>
      <c r="P6" s="42"/>
    </row>
    <row r="7" spans="1:16" ht="20.100000000000001" customHeight="1" x14ac:dyDescent="0.15">
      <c r="A7" s="43"/>
      <c r="B7" s="50"/>
      <c r="C7" s="23">
        <f t="shared" si="0"/>
        <v>5</v>
      </c>
      <c r="D7" s="136" t="s">
        <v>83</v>
      </c>
      <c r="E7" s="137"/>
      <c r="F7" s="52"/>
      <c r="G7" s="52" t="s">
        <v>58</v>
      </c>
      <c r="H7" s="52"/>
      <c r="I7" s="42"/>
      <c r="J7" s="52"/>
      <c r="K7" s="52"/>
      <c r="L7" s="42"/>
      <c r="M7" s="42"/>
      <c r="N7" s="52"/>
      <c r="O7" s="52"/>
      <c r="P7" s="42"/>
    </row>
    <row r="8" spans="1:16" ht="20.100000000000001" customHeight="1" x14ac:dyDescent="0.15">
      <c r="A8" s="43"/>
      <c r="B8" s="50"/>
      <c r="C8" s="23">
        <f t="shared" si="0"/>
        <v>6</v>
      </c>
      <c r="D8" s="136" t="s">
        <v>84</v>
      </c>
      <c r="E8" s="137"/>
      <c r="F8" s="52"/>
      <c r="G8" s="52"/>
      <c r="H8" s="52" t="s">
        <v>58</v>
      </c>
      <c r="I8" s="52" t="s">
        <v>58</v>
      </c>
      <c r="J8" s="52" t="s">
        <v>58</v>
      </c>
      <c r="K8" s="52" t="s">
        <v>58</v>
      </c>
      <c r="L8" s="52" t="s">
        <v>58</v>
      </c>
      <c r="M8" s="42"/>
      <c r="N8" s="52"/>
      <c r="O8" s="52"/>
      <c r="P8" s="42"/>
    </row>
    <row r="9" spans="1:16" ht="20.100000000000001" customHeight="1" x14ac:dyDescent="0.15">
      <c r="A9" s="43"/>
      <c r="B9" s="50"/>
      <c r="C9" s="23">
        <f t="shared" si="0"/>
        <v>7</v>
      </c>
      <c r="D9" s="51" t="s">
        <v>85</v>
      </c>
      <c r="E9" s="8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</row>
    <row r="10" spans="1:16" ht="20.100000000000001" customHeight="1" x14ac:dyDescent="0.15">
      <c r="A10" s="43"/>
      <c r="B10" s="50"/>
      <c r="C10" s="23">
        <f t="shared" si="0"/>
        <v>8</v>
      </c>
      <c r="D10" s="136" t="s">
        <v>86</v>
      </c>
      <c r="E10" s="137"/>
      <c r="F10" s="52"/>
      <c r="G10" s="52"/>
      <c r="H10" s="52" t="s">
        <v>58</v>
      </c>
      <c r="I10" s="42"/>
      <c r="J10" s="52"/>
      <c r="K10" s="52"/>
      <c r="L10" s="42"/>
      <c r="M10" s="42"/>
      <c r="N10" s="52"/>
      <c r="O10" s="52"/>
      <c r="P10" s="42"/>
    </row>
    <row r="11" spans="1:16" ht="20.100000000000001" customHeight="1" x14ac:dyDescent="0.15">
      <c r="A11" s="43"/>
      <c r="B11" s="50"/>
      <c r="C11" s="23">
        <f t="shared" si="0"/>
        <v>9</v>
      </c>
      <c r="D11" s="136" t="s">
        <v>87</v>
      </c>
      <c r="E11" s="137"/>
      <c r="F11" s="52"/>
      <c r="G11" s="52"/>
      <c r="H11" s="52"/>
      <c r="I11" s="42" t="s">
        <v>58</v>
      </c>
      <c r="J11" s="52"/>
      <c r="K11" s="52"/>
      <c r="L11" s="42"/>
      <c r="M11" s="42"/>
      <c r="N11" s="52"/>
      <c r="O11" s="52"/>
      <c r="P11" s="42"/>
    </row>
    <row r="12" spans="1:16" ht="20.100000000000001" customHeight="1" x14ac:dyDescent="0.15">
      <c r="A12" s="43"/>
      <c r="B12" s="50"/>
      <c r="C12" s="23">
        <f t="shared" si="0"/>
        <v>10</v>
      </c>
      <c r="D12" s="136" t="s">
        <v>75</v>
      </c>
      <c r="E12" s="137"/>
      <c r="F12" s="52"/>
      <c r="G12" s="52"/>
      <c r="H12" s="52"/>
      <c r="I12" s="42"/>
      <c r="J12" s="52" t="s">
        <v>58</v>
      </c>
      <c r="K12" s="52" t="s">
        <v>58</v>
      </c>
      <c r="L12" s="52" t="s">
        <v>58</v>
      </c>
      <c r="M12" s="42"/>
      <c r="N12" s="52"/>
      <c r="O12" s="52"/>
      <c r="P12" s="42"/>
    </row>
    <row r="13" spans="1:16" ht="20.100000000000001" customHeight="1" x14ac:dyDescent="0.15">
      <c r="A13" s="43"/>
      <c r="B13" s="50"/>
      <c r="C13" s="23">
        <f t="shared" si="0"/>
        <v>11</v>
      </c>
      <c r="D13" s="79" t="s">
        <v>95</v>
      </c>
      <c r="E13" s="35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</row>
    <row r="14" spans="1:16" ht="20.100000000000001" customHeight="1" x14ac:dyDescent="0.15">
      <c r="A14" s="43"/>
      <c r="B14" s="50"/>
      <c r="C14" s="23">
        <f t="shared" si="0"/>
        <v>12</v>
      </c>
      <c r="D14" s="51" t="s">
        <v>91</v>
      </c>
      <c r="E14" s="8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</row>
    <row r="15" spans="1:16" ht="20.100000000000001" customHeight="1" x14ac:dyDescent="0.15">
      <c r="A15" s="43"/>
      <c r="B15" s="50"/>
      <c r="C15" s="23">
        <f t="shared" si="0"/>
        <v>13</v>
      </c>
      <c r="D15" s="136" t="s">
        <v>77</v>
      </c>
      <c r="E15" s="137"/>
      <c r="F15" s="52"/>
      <c r="G15" s="52"/>
      <c r="H15" s="52"/>
      <c r="I15" s="42"/>
      <c r="J15" s="52" t="s">
        <v>58</v>
      </c>
      <c r="K15" s="52"/>
      <c r="L15" s="42"/>
      <c r="M15" s="42"/>
      <c r="N15" s="52"/>
      <c r="O15" s="52"/>
      <c r="P15" s="42"/>
    </row>
    <row r="16" spans="1:16" ht="20.100000000000001" customHeight="1" x14ac:dyDescent="0.15">
      <c r="A16" s="43"/>
      <c r="B16" s="50"/>
      <c r="C16" s="23">
        <f t="shared" si="0"/>
        <v>14</v>
      </c>
      <c r="D16" s="136" t="s">
        <v>75</v>
      </c>
      <c r="E16" s="137"/>
      <c r="F16" s="52"/>
      <c r="G16" s="52"/>
      <c r="H16" s="52"/>
      <c r="I16" s="42"/>
      <c r="J16" s="52"/>
      <c r="K16" s="52" t="s">
        <v>58</v>
      </c>
      <c r="L16" s="52" t="s">
        <v>58</v>
      </c>
      <c r="M16" s="42"/>
      <c r="N16" s="52"/>
      <c r="O16" s="52"/>
      <c r="P16" s="42"/>
    </row>
    <row r="17" spans="1:16" ht="20.100000000000001" customHeight="1" x14ac:dyDescent="0.15">
      <c r="A17" s="43"/>
      <c r="B17" s="50"/>
      <c r="C17" s="23">
        <f t="shared" si="0"/>
        <v>15</v>
      </c>
      <c r="D17" s="136"/>
      <c r="E17" s="137"/>
      <c r="F17" s="52"/>
      <c r="G17" s="52"/>
      <c r="H17" s="52"/>
      <c r="I17" s="42"/>
      <c r="J17" s="52"/>
      <c r="K17" s="52"/>
      <c r="L17" s="42"/>
      <c r="M17" s="42"/>
      <c r="N17" s="52"/>
      <c r="O17" s="52"/>
      <c r="P17" s="42"/>
    </row>
    <row r="18" spans="1:16" ht="20.100000000000001" customHeight="1" x14ac:dyDescent="0.15">
      <c r="A18" s="43"/>
      <c r="B18" s="50"/>
      <c r="C18" s="23">
        <f t="shared" si="0"/>
        <v>16</v>
      </c>
      <c r="D18" s="51" t="s">
        <v>99</v>
      </c>
      <c r="E18" s="8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</row>
    <row r="19" spans="1:16" ht="20.100000000000001" customHeight="1" x14ac:dyDescent="0.15">
      <c r="A19" s="43"/>
      <c r="B19" s="50"/>
      <c r="C19" s="23">
        <f t="shared" si="0"/>
        <v>17</v>
      </c>
      <c r="D19" s="136" t="s">
        <v>103</v>
      </c>
      <c r="E19" s="137"/>
      <c r="F19" s="52"/>
      <c r="G19" s="52"/>
      <c r="H19" s="52"/>
      <c r="I19" s="42"/>
      <c r="J19" s="52"/>
      <c r="K19" s="52" t="s">
        <v>58</v>
      </c>
      <c r="L19" s="42"/>
      <c r="M19" s="42"/>
      <c r="N19" s="52"/>
      <c r="O19" s="52"/>
      <c r="P19" s="42"/>
    </row>
    <row r="20" spans="1:16" ht="20.100000000000001" customHeight="1" x14ac:dyDescent="0.15">
      <c r="A20" s="43"/>
      <c r="B20" s="50"/>
      <c r="C20" s="23">
        <f t="shared" si="0"/>
        <v>18</v>
      </c>
      <c r="D20" s="136" t="s">
        <v>75</v>
      </c>
      <c r="E20" s="137"/>
      <c r="F20" s="52"/>
      <c r="G20" s="42"/>
      <c r="H20" s="52"/>
      <c r="I20" s="42"/>
      <c r="J20" s="52"/>
      <c r="K20" s="52"/>
      <c r="L20" s="42" t="s">
        <v>58</v>
      </c>
      <c r="M20" s="42"/>
      <c r="N20" s="52"/>
      <c r="O20" s="52"/>
      <c r="P20" s="42"/>
    </row>
    <row r="21" spans="1:16" ht="20.100000000000001" customHeight="1" x14ac:dyDescent="0.15">
      <c r="A21" s="43"/>
      <c r="B21" s="50"/>
      <c r="C21" s="23">
        <f t="shared" si="0"/>
        <v>19</v>
      </c>
      <c r="D21" s="136"/>
      <c r="E21" s="137"/>
      <c r="F21" s="42"/>
      <c r="G21" s="42"/>
      <c r="H21" s="52"/>
      <c r="I21" s="42"/>
      <c r="J21" s="52"/>
      <c r="K21" s="52"/>
      <c r="L21" s="42"/>
      <c r="M21" s="42"/>
      <c r="N21" s="52"/>
      <c r="O21" s="52"/>
      <c r="P21" s="42"/>
    </row>
    <row r="22" spans="1:16" ht="20.100000000000001" customHeight="1" x14ac:dyDescent="0.15">
      <c r="A22" s="43"/>
      <c r="B22" s="50"/>
      <c r="C22" s="23">
        <f>C21+1</f>
        <v>20</v>
      </c>
      <c r="D22" s="136"/>
      <c r="E22" s="137"/>
      <c r="F22" s="42"/>
      <c r="G22" s="42"/>
      <c r="H22" s="52"/>
      <c r="I22" s="42"/>
      <c r="J22" s="52"/>
      <c r="K22" s="52"/>
      <c r="L22" s="42"/>
      <c r="M22" s="42"/>
      <c r="N22" s="52"/>
      <c r="O22" s="52"/>
      <c r="P22" s="42"/>
    </row>
    <row r="23" spans="1:16" ht="20.100000000000001" customHeight="1" x14ac:dyDescent="0.15">
      <c r="A23" s="43"/>
      <c r="B23" s="53"/>
      <c r="C23" s="54"/>
      <c r="D23" s="55"/>
      <c r="E23" s="56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</row>
    <row r="24" spans="1:16" ht="19.899999999999999" customHeight="1" x14ac:dyDescent="0.15">
      <c r="A24" s="43"/>
      <c r="B24" s="44"/>
      <c r="C24" s="45" t="s">
        <v>34</v>
      </c>
      <c r="D24" s="46" t="s">
        <v>36</v>
      </c>
      <c r="E24" s="47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</row>
    <row r="25" spans="1:16" ht="20.100000000000001" customHeight="1" x14ac:dyDescent="0.15">
      <c r="A25" s="2"/>
      <c r="B25" s="26"/>
      <c r="C25" s="23">
        <v>1</v>
      </c>
      <c r="D25" s="37" t="s">
        <v>43</v>
      </c>
      <c r="E25" s="35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</row>
    <row r="26" spans="1:16" ht="20.100000000000001" customHeight="1" x14ac:dyDescent="0.15">
      <c r="A26" s="43"/>
      <c r="B26" s="50"/>
      <c r="C26" s="23">
        <f>C25+1</f>
        <v>2</v>
      </c>
      <c r="D26" s="136" t="s">
        <v>100</v>
      </c>
      <c r="E26" s="137"/>
      <c r="F26" s="52"/>
      <c r="G26" s="80"/>
      <c r="H26" s="80"/>
      <c r="I26" s="80"/>
      <c r="J26" s="80"/>
      <c r="K26" s="80" t="s">
        <v>56</v>
      </c>
      <c r="L26" s="80"/>
      <c r="M26" s="80"/>
      <c r="N26" s="80"/>
      <c r="O26" s="80"/>
      <c r="P26" s="80"/>
    </row>
    <row r="27" spans="1:16" ht="20.100000000000001" customHeight="1" x14ac:dyDescent="0.15">
      <c r="A27" s="43"/>
      <c r="B27" s="50"/>
      <c r="C27" s="23">
        <f t="shared" ref="C27:C39" si="1">C26+1</f>
        <v>3</v>
      </c>
      <c r="D27" s="136" t="s">
        <v>101</v>
      </c>
      <c r="E27" s="137"/>
      <c r="F27" s="52"/>
      <c r="G27" s="52"/>
      <c r="H27" s="80"/>
      <c r="I27" s="80"/>
      <c r="J27" s="80"/>
      <c r="K27" s="80" t="s">
        <v>56</v>
      </c>
      <c r="L27" s="80"/>
      <c r="M27" s="80"/>
      <c r="N27" s="80"/>
      <c r="O27" s="80"/>
      <c r="P27" s="80"/>
    </row>
    <row r="28" spans="1:16" ht="20.100000000000001" customHeight="1" x14ac:dyDescent="0.15">
      <c r="A28" s="43"/>
      <c r="B28" s="50"/>
      <c r="C28" s="23">
        <f t="shared" si="1"/>
        <v>4</v>
      </c>
      <c r="D28" s="51" t="s">
        <v>102</v>
      </c>
      <c r="E28" s="8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</row>
    <row r="29" spans="1:16" ht="20.100000000000001" customHeight="1" x14ac:dyDescent="0.15">
      <c r="A29" s="43"/>
      <c r="B29" s="50"/>
      <c r="C29" s="23">
        <f t="shared" si="1"/>
        <v>5</v>
      </c>
      <c r="D29" s="136" t="s">
        <v>104</v>
      </c>
      <c r="E29" s="137"/>
      <c r="F29" s="52"/>
      <c r="G29" s="80"/>
      <c r="H29" s="80"/>
      <c r="I29" s="80"/>
      <c r="J29" s="80"/>
      <c r="K29" s="80" t="s">
        <v>56</v>
      </c>
      <c r="L29" s="80"/>
      <c r="M29" s="80"/>
      <c r="N29" s="80"/>
      <c r="O29" s="80"/>
      <c r="P29" s="80"/>
    </row>
    <row r="30" spans="1:16" ht="20.100000000000001" customHeight="1" x14ac:dyDescent="0.15">
      <c r="A30" s="43"/>
      <c r="B30" s="50"/>
      <c r="C30" s="23">
        <f t="shared" si="1"/>
        <v>6</v>
      </c>
      <c r="D30" s="136" t="s">
        <v>105</v>
      </c>
      <c r="E30" s="137"/>
      <c r="F30" s="52"/>
      <c r="G30" s="80"/>
      <c r="H30" s="80"/>
      <c r="I30" s="80"/>
      <c r="J30" s="80"/>
      <c r="K30" s="80" t="s">
        <v>56</v>
      </c>
      <c r="L30" s="80"/>
      <c r="M30" s="80"/>
      <c r="N30" s="80"/>
      <c r="O30" s="80"/>
      <c r="P30" s="80"/>
    </row>
    <row r="31" spans="1:16" ht="20.100000000000001" customHeight="1" x14ac:dyDescent="0.15">
      <c r="A31" s="43"/>
      <c r="B31" s="50"/>
      <c r="C31" s="23">
        <f t="shared" si="1"/>
        <v>7</v>
      </c>
      <c r="D31" s="136" t="s">
        <v>106</v>
      </c>
      <c r="E31" s="137"/>
      <c r="F31" s="52"/>
      <c r="G31" s="80"/>
      <c r="H31" s="80"/>
      <c r="I31" s="80"/>
      <c r="J31" s="80"/>
      <c r="K31" s="80"/>
      <c r="L31" s="80" t="s">
        <v>56</v>
      </c>
      <c r="M31" s="80"/>
      <c r="N31" s="80"/>
      <c r="O31" s="80"/>
      <c r="P31" s="80"/>
    </row>
    <row r="32" spans="1:16" ht="19.5" customHeight="1" x14ac:dyDescent="0.15">
      <c r="A32" s="43"/>
      <c r="B32" s="50"/>
      <c r="C32" s="23">
        <f t="shared" si="1"/>
        <v>8</v>
      </c>
      <c r="D32" s="79" t="s">
        <v>66</v>
      </c>
      <c r="E32" s="35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</row>
    <row r="33" spans="1:16" ht="19.5" customHeight="1" x14ac:dyDescent="0.15">
      <c r="A33" s="43"/>
      <c r="B33" s="50"/>
      <c r="C33" s="23">
        <f t="shared" si="1"/>
        <v>9</v>
      </c>
      <c r="D33" s="136" t="s">
        <v>73</v>
      </c>
      <c r="E33" s="137"/>
      <c r="F33" s="80" t="s">
        <v>56</v>
      </c>
      <c r="G33" s="80" t="s">
        <v>56</v>
      </c>
      <c r="H33" s="80" t="s">
        <v>56</v>
      </c>
      <c r="I33" s="80" t="s">
        <v>56</v>
      </c>
      <c r="J33" s="80"/>
      <c r="K33" s="80"/>
      <c r="L33" s="80"/>
      <c r="M33" s="80"/>
      <c r="N33" s="80"/>
      <c r="O33" s="80"/>
      <c r="P33" s="80"/>
    </row>
    <row r="34" spans="1:16" ht="19.5" customHeight="1" x14ac:dyDescent="0.15">
      <c r="A34" s="43"/>
      <c r="B34" s="50"/>
      <c r="C34" s="23">
        <f t="shared" si="1"/>
        <v>10</v>
      </c>
      <c r="D34" s="136" t="s">
        <v>93</v>
      </c>
      <c r="E34" s="137"/>
      <c r="F34" s="80"/>
      <c r="G34" s="80"/>
      <c r="H34" s="80"/>
      <c r="I34" s="80"/>
      <c r="J34" s="80" t="s">
        <v>56</v>
      </c>
      <c r="K34" s="80"/>
      <c r="L34" s="80"/>
      <c r="M34" s="80"/>
      <c r="N34" s="80"/>
      <c r="O34" s="80"/>
      <c r="P34" s="80"/>
    </row>
    <row r="35" spans="1:16" ht="19.5" customHeight="1" x14ac:dyDescent="0.15">
      <c r="A35" s="43"/>
      <c r="B35" s="50"/>
      <c r="C35" s="23">
        <f t="shared" si="1"/>
        <v>11</v>
      </c>
      <c r="D35" s="136" t="s">
        <v>69</v>
      </c>
      <c r="E35" s="137"/>
      <c r="F35" s="80"/>
      <c r="G35" s="80"/>
      <c r="H35" s="80"/>
      <c r="I35" s="80"/>
      <c r="J35" s="80"/>
      <c r="K35" s="80" t="s">
        <v>56</v>
      </c>
      <c r="L35" s="80" t="s">
        <v>56</v>
      </c>
      <c r="M35" s="80"/>
      <c r="N35" s="80"/>
      <c r="O35" s="80"/>
      <c r="P35" s="80"/>
    </row>
    <row r="36" spans="1:16" ht="19.5" customHeight="1" x14ac:dyDescent="0.15">
      <c r="A36" s="43"/>
      <c r="B36" s="50"/>
      <c r="C36" s="23">
        <f t="shared" si="1"/>
        <v>12</v>
      </c>
      <c r="D36" s="136"/>
      <c r="E36" s="137"/>
      <c r="F36" s="52"/>
      <c r="G36" s="42"/>
      <c r="H36" s="52"/>
      <c r="I36" s="52"/>
      <c r="J36" s="42"/>
      <c r="K36" s="52"/>
      <c r="L36" s="52"/>
      <c r="M36" s="52"/>
      <c r="N36" s="42"/>
      <c r="O36" s="52"/>
      <c r="P36" s="52"/>
    </row>
    <row r="37" spans="1:16" ht="19.5" customHeight="1" x14ac:dyDescent="0.15">
      <c r="A37" s="43"/>
      <c r="B37" s="50"/>
      <c r="C37" s="23">
        <f t="shared" si="1"/>
        <v>13</v>
      </c>
      <c r="D37" s="79" t="s">
        <v>88</v>
      </c>
      <c r="E37" s="35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</row>
    <row r="38" spans="1:16" ht="19.5" customHeight="1" x14ac:dyDescent="0.15">
      <c r="A38" s="43"/>
      <c r="B38" s="50"/>
      <c r="C38" s="23">
        <f t="shared" si="1"/>
        <v>14</v>
      </c>
      <c r="D38" s="136" t="s">
        <v>96</v>
      </c>
      <c r="E38" s="137"/>
      <c r="F38" s="80" t="s">
        <v>56</v>
      </c>
      <c r="G38" s="52"/>
      <c r="H38" s="52"/>
      <c r="I38" s="42"/>
      <c r="J38" s="52"/>
      <c r="K38" s="52"/>
      <c r="L38" s="42"/>
      <c r="M38" s="42"/>
      <c r="N38" s="52"/>
      <c r="O38" s="52"/>
      <c r="P38" s="42"/>
    </row>
    <row r="39" spans="1:16" ht="19.5" customHeight="1" x14ac:dyDescent="0.15">
      <c r="A39" s="43"/>
      <c r="B39" s="50"/>
      <c r="C39" s="23">
        <f t="shared" si="1"/>
        <v>15</v>
      </c>
      <c r="D39" s="136" t="s">
        <v>97</v>
      </c>
      <c r="E39" s="137"/>
      <c r="F39" s="52"/>
      <c r="G39" s="80" t="s">
        <v>56</v>
      </c>
      <c r="H39" s="52"/>
      <c r="I39" s="42"/>
      <c r="J39" s="52"/>
      <c r="K39" s="52"/>
      <c r="L39" s="42"/>
      <c r="M39" s="42"/>
      <c r="N39" s="52"/>
      <c r="O39" s="52"/>
      <c r="P39" s="42"/>
    </row>
    <row r="40" spans="1:16" ht="30" customHeight="1" x14ac:dyDescent="0.15">
      <c r="A40" s="43"/>
      <c r="B40" s="50"/>
      <c r="C40" s="23">
        <f t="shared" ref="C40:C41" si="2">C39+1</f>
        <v>16</v>
      </c>
      <c r="D40" s="136" t="s">
        <v>98</v>
      </c>
      <c r="E40" s="137"/>
      <c r="F40" s="52"/>
      <c r="G40" s="52"/>
      <c r="H40" s="80" t="s">
        <v>56</v>
      </c>
      <c r="I40" s="80" t="s">
        <v>56</v>
      </c>
      <c r="J40" s="52"/>
      <c r="K40" s="52"/>
      <c r="L40" s="42"/>
      <c r="M40" s="42"/>
      <c r="N40" s="52"/>
      <c r="O40" s="52"/>
      <c r="P40" s="42"/>
    </row>
    <row r="41" spans="1:16" ht="19.5" customHeight="1" x14ac:dyDescent="0.15">
      <c r="A41" s="43"/>
      <c r="B41" s="50"/>
      <c r="C41" s="23">
        <f t="shared" si="2"/>
        <v>17</v>
      </c>
      <c r="D41" s="136"/>
      <c r="E41" s="137"/>
      <c r="F41" s="58"/>
      <c r="G41" s="42"/>
      <c r="H41" s="42"/>
      <c r="I41" s="42"/>
      <c r="J41" s="42"/>
      <c r="K41" s="42"/>
      <c r="L41" s="42"/>
      <c r="M41" s="42"/>
      <c r="N41" s="42"/>
      <c r="O41" s="42"/>
      <c r="P41" s="42"/>
    </row>
    <row r="42" spans="1:16" ht="20.100000000000001" customHeight="1" x14ac:dyDescent="0.15">
      <c r="A42" s="43"/>
      <c r="B42" s="53"/>
      <c r="C42" s="54"/>
      <c r="D42" s="59"/>
      <c r="E42" s="60"/>
      <c r="F42" s="61"/>
      <c r="G42" s="57"/>
      <c r="H42" s="57"/>
      <c r="I42" s="57"/>
      <c r="J42" s="57"/>
      <c r="K42" s="57"/>
      <c r="L42" s="57"/>
      <c r="M42" s="57"/>
      <c r="N42" s="57"/>
      <c r="O42" s="57"/>
      <c r="P42" s="57"/>
    </row>
    <row r="43" spans="1:16" ht="20.100000000000001" customHeight="1" x14ac:dyDescent="0.15">
      <c r="A43" s="43"/>
      <c r="B43" s="44"/>
      <c r="C43" s="62" t="s">
        <v>34</v>
      </c>
      <c r="D43" s="45" t="s">
        <v>37</v>
      </c>
      <c r="E43" s="63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</row>
    <row r="44" spans="1:16" ht="20.100000000000001" customHeight="1" x14ac:dyDescent="0.15">
      <c r="A44" s="43"/>
      <c r="B44" s="64" t="s">
        <v>38</v>
      </c>
      <c r="C44" s="65">
        <v>1</v>
      </c>
      <c r="D44" s="38"/>
      <c r="E44" s="66" t="s">
        <v>39</v>
      </c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</row>
    <row r="45" spans="1:16" ht="20.100000000000001" customHeight="1" x14ac:dyDescent="0.15">
      <c r="A45" s="43"/>
      <c r="B45" s="64"/>
      <c r="C45" s="65"/>
      <c r="D45" s="67"/>
      <c r="E45" s="68" t="s">
        <v>40</v>
      </c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</row>
    <row r="46" spans="1:16" ht="20.100000000000001" customHeight="1" x14ac:dyDescent="0.15">
      <c r="A46" s="43"/>
      <c r="B46" s="64"/>
      <c r="C46" s="69">
        <v>2</v>
      </c>
      <c r="D46" s="70"/>
      <c r="E46" s="66" t="s">
        <v>39</v>
      </c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</row>
    <row r="47" spans="1:16" ht="20.100000000000001" customHeight="1" x14ac:dyDescent="0.15">
      <c r="A47" s="43"/>
      <c r="B47" s="64"/>
      <c r="C47" s="71"/>
      <c r="D47" s="72"/>
      <c r="E47" s="68" t="s">
        <v>40</v>
      </c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</row>
    <row r="48" spans="1:16" ht="20.100000000000001" customHeight="1" x14ac:dyDescent="0.15">
      <c r="A48" s="43"/>
      <c r="B48" s="64"/>
      <c r="C48" s="69">
        <v>3</v>
      </c>
      <c r="D48" s="70"/>
      <c r="E48" s="66" t="s">
        <v>39</v>
      </c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</row>
    <row r="49" spans="1:16" ht="20.100000000000001" customHeight="1" x14ac:dyDescent="0.15">
      <c r="A49" s="43"/>
      <c r="B49" s="64"/>
      <c r="C49" s="71"/>
      <c r="D49" s="72"/>
      <c r="E49" s="68" t="s">
        <v>40</v>
      </c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</row>
    <row r="50" spans="1:16" ht="20.100000000000001" customHeight="1" x14ac:dyDescent="0.15">
      <c r="A50" s="43"/>
      <c r="B50" s="64"/>
      <c r="C50" s="69">
        <v>4</v>
      </c>
      <c r="D50" s="70"/>
      <c r="E50" s="66" t="s">
        <v>39</v>
      </c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</row>
    <row r="51" spans="1:16" ht="9.9499999999999993" customHeight="1" x14ac:dyDescent="0.15">
      <c r="A51" s="43"/>
      <c r="B51" s="64"/>
      <c r="C51" s="71"/>
      <c r="D51" s="72"/>
      <c r="E51" s="68" t="s">
        <v>40</v>
      </c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</row>
    <row r="52" spans="1:16" ht="20.100000000000001" customHeight="1" x14ac:dyDescent="0.15">
      <c r="A52" s="43"/>
      <c r="B52" s="64"/>
      <c r="C52" s="69">
        <v>5</v>
      </c>
      <c r="D52" s="70"/>
      <c r="E52" s="66" t="s">
        <v>39</v>
      </c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</row>
    <row r="53" spans="1:16" ht="20.100000000000001" customHeight="1" x14ac:dyDescent="0.15">
      <c r="A53" s="43"/>
      <c r="B53" s="64"/>
      <c r="C53" s="71"/>
      <c r="D53" s="72"/>
      <c r="E53" s="68" t="s">
        <v>40</v>
      </c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</row>
    <row r="54" spans="1:16" ht="30" customHeight="1" x14ac:dyDescent="0.15">
      <c r="A54" s="43"/>
      <c r="B54" s="64"/>
      <c r="C54" s="69">
        <v>6</v>
      </c>
      <c r="D54" s="70"/>
      <c r="E54" s="66" t="s">
        <v>39</v>
      </c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</row>
    <row r="55" spans="1:16" ht="30" customHeight="1" x14ac:dyDescent="0.15">
      <c r="A55" s="43"/>
      <c r="B55" s="64"/>
      <c r="C55" s="71"/>
      <c r="D55" s="72"/>
      <c r="E55" s="68" t="s">
        <v>40</v>
      </c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</row>
    <row r="56" spans="1:16" ht="30" customHeight="1" x14ac:dyDescent="0.15">
      <c r="A56" s="43"/>
      <c r="B56" s="64"/>
      <c r="C56" s="69">
        <v>7</v>
      </c>
      <c r="D56" s="70"/>
      <c r="E56" s="66" t="s">
        <v>39</v>
      </c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</row>
    <row r="57" spans="1:16" ht="30" customHeight="1" x14ac:dyDescent="0.15">
      <c r="A57" s="43"/>
      <c r="B57" s="64"/>
      <c r="C57" s="71"/>
      <c r="D57" s="72"/>
      <c r="E57" s="68" t="s">
        <v>40</v>
      </c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</row>
    <row r="58" spans="1:16" ht="30" customHeight="1" x14ac:dyDescent="0.15">
      <c r="A58" s="43"/>
      <c r="B58" s="64"/>
      <c r="C58" s="69">
        <v>8</v>
      </c>
      <c r="D58" s="70"/>
      <c r="E58" s="66" t="s">
        <v>39</v>
      </c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</row>
    <row r="59" spans="1:16" ht="30" customHeight="1" x14ac:dyDescent="0.15">
      <c r="A59" s="43"/>
      <c r="B59" s="64"/>
      <c r="C59" s="71"/>
      <c r="D59" s="72"/>
      <c r="E59" s="68" t="s">
        <v>40</v>
      </c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</row>
    <row r="60" spans="1:16" ht="30" customHeight="1" x14ac:dyDescent="0.15">
      <c r="A60" s="43"/>
      <c r="B60" s="53"/>
      <c r="C60" s="54"/>
      <c r="D60" s="59"/>
      <c r="E60" s="59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</row>
    <row r="61" spans="1:16" ht="30" customHeight="1" x14ac:dyDescent="0.15">
      <c r="A61" s="78"/>
      <c r="B61" s="73" t="s">
        <v>41</v>
      </c>
      <c r="C61" s="59"/>
      <c r="D61" s="59" t="s">
        <v>42</v>
      </c>
      <c r="E61" s="49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</row>
    <row r="62" spans="1:16" ht="30" customHeight="1" x14ac:dyDescent="0.15">
      <c r="A62" s="135"/>
      <c r="B62" s="135"/>
      <c r="C62" s="74"/>
      <c r="D62" s="14"/>
      <c r="E62" s="75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</row>
  </sheetData>
  <mergeCells count="27">
    <mergeCell ref="D21:E21"/>
    <mergeCell ref="D15:E15"/>
    <mergeCell ref="D16:E16"/>
    <mergeCell ref="A62:B62"/>
    <mergeCell ref="D10:E10"/>
    <mergeCell ref="D11:E11"/>
    <mergeCell ref="D12:E12"/>
    <mergeCell ref="D17:E17"/>
    <mergeCell ref="D22:E22"/>
    <mergeCell ref="D26:E26"/>
    <mergeCell ref="D31:E31"/>
    <mergeCell ref="D6:E6"/>
    <mergeCell ref="D7:E7"/>
    <mergeCell ref="D8:E8"/>
    <mergeCell ref="D19:E19"/>
    <mergeCell ref="D20:E20"/>
    <mergeCell ref="D36:E36"/>
    <mergeCell ref="D40:E40"/>
    <mergeCell ref="D41:E41"/>
    <mergeCell ref="D38:E38"/>
    <mergeCell ref="D39:E39"/>
    <mergeCell ref="D27:E27"/>
    <mergeCell ref="D30:E30"/>
    <mergeCell ref="D29:E29"/>
    <mergeCell ref="D33:E33"/>
    <mergeCell ref="D35:E35"/>
    <mergeCell ref="D34:E34"/>
  </mergeCells>
  <phoneticPr fontId="5"/>
  <printOptions horizontalCentered="1"/>
  <pageMargins left="0.27559055118110237" right="0.27559055118110237" top="0.59055118110236227" bottom="0.39370078740157483" header="0.39370078740157483" footer="0.19685039370078741"/>
  <pageSetup paperSize="9" scale="63" fitToHeight="0" orientation="landscape" r:id="rId1"/>
  <headerFooter alignWithMargins="0">
    <oddHeader>&amp;L&amp;"ＭＳ ゴシック,太字"&amp;18&amp;A</oddHeader>
    <oddFooter>&amp;L&amp;"ＭＳ Ｐゴシック,標準"&amp;9（ES0402-F01_単体テスト仕様書兼結果報告書 20161003 Ver.1.2）&amp;C&amp;"ＭＳ Ｐゴシック,標準"&amp;9&amp;P / &amp;N&amp;R&amp;"ＭＳ Ｐゴシック,標準"&amp;9Copyright© 2013 SCSK Corporation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9D284-73F9-4C93-A67E-CDD3D6F41D3D}">
  <dimension ref="C2:S94"/>
  <sheetViews>
    <sheetView workbookViewId="0"/>
  </sheetViews>
  <sheetFormatPr defaultRowHeight="13.5" x14ac:dyDescent="0.15"/>
  <cols>
    <col min="1" max="2" width="17.875" style="141" bestFit="1" customWidth="1"/>
    <col min="3" max="3" width="15.125" style="141" customWidth="1"/>
    <col min="4" max="4" width="24" style="141" customWidth="1"/>
    <col min="5" max="5" width="20.5" style="141" bestFit="1" customWidth="1"/>
    <col min="6" max="6" width="18.375" style="141" bestFit="1" customWidth="1"/>
    <col min="7" max="7" width="22.75" style="141" bestFit="1" customWidth="1"/>
    <col min="8" max="8" width="27.25" style="141" bestFit="1" customWidth="1"/>
    <col min="9" max="9" width="23.875" style="141" bestFit="1" customWidth="1"/>
    <col min="10" max="10" width="9" style="141"/>
    <col min="11" max="11" width="11.625" style="141" bestFit="1" customWidth="1"/>
    <col min="12" max="13" width="9" style="141"/>
    <col min="14" max="14" width="23.875" style="141" bestFit="1" customWidth="1"/>
    <col min="15" max="15" width="13.875" style="141" bestFit="1" customWidth="1"/>
    <col min="16" max="16" width="9" style="141"/>
    <col min="17" max="18" width="13.875" style="141" bestFit="1" customWidth="1"/>
    <col min="19" max="16384" width="9" style="141"/>
  </cols>
  <sheetData>
    <row r="2" spans="3:19" x14ac:dyDescent="0.15">
      <c r="C2" s="140" t="s">
        <v>152</v>
      </c>
    </row>
    <row r="3" spans="3:19" x14ac:dyDescent="0.15">
      <c r="C3" s="140" t="s">
        <v>126</v>
      </c>
      <c r="M3" s="142" t="s">
        <v>145</v>
      </c>
      <c r="N3" s="142" t="s">
        <v>146</v>
      </c>
      <c r="O3" s="142" t="s">
        <v>147</v>
      </c>
      <c r="P3" s="142" t="s">
        <v>148</v>
      </c>
    </row>
    <row r="4" spans="3:19" x14ac:dyDescent="0.15">
      <c r="C4" s="141" t="s">
        <v>158</v>
      </c>
      <c r="D4" s="141" t="s">
        <v>159</v>
      </c>
    </row>
    <row r="5" spans="3:19" ht="42.75" x14ac:dyDescent="0.15">
      <c r="C5" s="144" t="s">
        <v>160</v>
      </c>
      <c r="D5" s="144" t="s">
        <v>161</v>
      </c>
      <c r="E5" s="144" t="s">
        <v>162</v>
      </c>
      <c r="F5" s="144" t="s">
        <v>163</v>
      </c>
      <c r="G5" s="144" t="s">
        <v>164</v>
      </c>
      <c r="H5" s="144" t="s">
        <v>165</v>
      </c>
      <c r="I5" s="144" t="s">
        <v>166</v>
      </c>
      <c r="J5" s="144" t="s">
        <v>167</v>
      </c>
      <c r="K5" s="144" t="s">
        <v>168</v>
      </c>
      <c r="L5" s="144" t="s">
        <v>169</v>
      </c>
      <c r="M5" s="144" t="s">
        <v>170</v>
      </c>
      <c r="N5" s="144" t="s">
        <v>171</v>
      </c>
      <c r="O5" s="144" t="s">
        <v>172</v>
      </c>
      <c r="P5" s="144" t="s">
        <v>173</v>
      </c>
      <c r="Q5" s="144" t="s">
        <v>174</v>
      </c>
      <c r="R5" s="144" t="s">
        <v>175</v>
      </c>
      <c r="S5" s="144" t="s">
        <v>176</v>
      </c>
    </row>
    <row r="6" spans="3:19" ht="14.25" x14ac:dyDescent="0.15">
      <c r="C6" s="144" t="s">
        <v>143</v>
      </c>
      <c r="D6" s="144" t="s">
        <v>177</v>
      </c>
      <c r="E6" s="144" t="s">
        <v>177</v>
      </c>
      <c r="F6" s="144" t="s">
        <v>178</v>
      </c>
      <c r="G6" s="144" t="s">
        <v>178</v>
      </c>
      <c r="H6" s="144" t="s">
        <v>177</v>
      </c>
      <c r="I6" s="144" t="s">
        <v>178</v>
      </c>
      <c r="J6" s="144" t="s">
        <v>177</v>
      </c>
      <c r="K6" s="144" t="s">
        <v>177</v>
      </c>
      <c r="L6" s="144" t="s">
        <v>143</v>
      </c>
      <c r="M6" s="144" t="s">
        <v>143</v>
      </c>
      <c r="N6" s="144" t="s">
        <v>177</v>
      </c>
      <c r="O6" s="144" t="s">
        <v>177</v>
      </c>
      <c r="P6" s="144" t="s">
        <v>143</v>
      </c>
      <c r="Q6" s="144" t="s">
        <v>177</v>
      </c>
      <c r="R6" s="144" t="s">
        <v>177</v>
      </c>
      <c r="S6" s="144" t="s">
        <v>143</v>
      </c>
    </row>
    <row r="7" spans="3:19" ht="42.75" x14ac:dyDescent="0.15">
      <c r="C7" s="144" t="s">
        <v>179</v>
      </c>
      <c r="D7" s="144" t="s">
        <v>180</v>
      </c>
      <c r="E7" s="144" t="s">
        <v>181</v>
      </c>
      <c r="F7" s="144" t="s">
        <v>182</v>
      </c>
      <c r="G7" s="144" t="s">
        <v>183</v>
      </c>
      <c r="H7" s="144" t="s">
        <v>184</v>
      </c>
      <c r="I7" s="144" t="s">
        <v>185</v>
      </c>
      <c r="J7" s="144" t="s">
        <v>186</v>
      </c>
      <c r="K7" s="144" t="s">
        <v>187</v>
      </c>
      <c r="L7" s="144" t="s">
        <v>188</v>
      </c>
      <c r="M7" s="144" t="s">
        <v>189</v>
      </c>
      <c r="N7" s="144" t="s">
        <v>190</v>
      </c>
      <c r="O7" s="144" t="s">
        <v>191</v>
      </c>
      <c r="P7" s="144" t="s">
        <v>192</v>
      </c>
      <c r="Q7" s="144" t="s">
        <v>193</v>
      </c>
      <c r="R7" s="144" t="s">
        <v>194</v>
      </c>
      <c r="S7" s="144" t="s">
        <v>195</v>
      </c>
    </row>
    <row r="11" spans="3:19" x14ac:dyDescent="0.15">
      <c r="C11" s="140" t="s">
        <v>153</v>
      </c>
    </row>
    <row r="12" spans="3:19" x14ac:dyDescent="0.15">
      <c r="C12" s="140" t="s">
        <v>126</v>
      </c>
    </row>
    <row r="13" spans="3:19" x14ac:dyDescent="0.15">
      <c r="C13" s="141" t="s">
        <v>158</v>
      </c>
      <c r="D13" s="141" t="s">
        <v>159</v>
      </c>
    </row>
    <row r="14" spans="3:19" ht="42.75" x14ac:dyDescent="0.15">
      <c r="C14" s="144" t="s">
        <v>160</v>
      </c>
      <c r="D14" s="144" t="s">
        <v>161</v>
      </c>
      <c r="E14" s="144" t="s">
        <v>162</v>
      </c>
      <c r="F14" s="144" t="s">
        <v>163</v>
      </c>
      <c r="G14" s="144" t="s">
        <v>164</v>
      </c>
      <c r="H14" s="144" t="s">
        <v>165</v>
      </c>
      <c r="I14" s="144" t="s">
        <v>166</v>
      </c>
      <c r="J14" s="144" t="s">
        <v>167</v>
      </c>
      <c r="K14" s="144" t="s">
        <v>168</v>
      </c>
      <c r="L14" s="144" t="s">
        <v>169</v>
      </c>
      <c r="M14" s="144" t="s">
        <v>170</v>
      </c>
      <c r="N14" s="144" t="s">
        <v>171</v>
      </c>
      <c r="O14" s="144" t="s">
        <v>172</v>
      </c>
      <c r="P14" s="144" t="s">
        <v>173</v>
      </c>
      <c r="Q14" s="144" t="s">
        <v>174</v>
      </c>
      <c r="R14" s="144" t="s">
        <v>175</v>
      </c>
      <c r="S14" s="144" t="s">
        <v>176</v>
      </c>
    </row>
    <row r="15" spans="3:19" ht="14.25" x14ac:dyDescent="0.15">
      <c r="C15" s="144" t="s">
        <v>143</v>
      </c>
      <c r="D15" s="144" t="s">
        <v>177</v>
      </c>
      <c r="E15" s="144" t="s">
        <v>177</v>
      </c>
      <c r="F15" s="144" t="s">
        <v>178</v>
      </c>
      <c r="G15" s="144" t="s">
        <v>178</v>
      </c>
      <c r="H15" s="144" t="s">
        <v>177</v>
      </c>
      <c r="I15" s="144" t="s">
        <v>178</v>
      </c>
      <c r="J15" s="144" t="s">
        <v>177</v>
      </c>
      <c r="K15" s="144" t="s">
        <v>177</v>
      </c>
      <c r="L15" s="144" t="s">
        <v>143</v>
      </c>
      <c r="M15" s="144" t="s">
        <v>143</v>
      </c>
      <c r="N15" s="144" t="s">
        <v>177</v>
      </c>
      <c r="O15" s="144" t="s">
        <v>177</v>
      </c>
      <c r="P15" s="144" t="s">
        <v>143</v>
      </c>
      <c r="Q15" s="144" t="s">
        <v>177</v>
      </c>
      <c r="R15" s="144" t="s">
        <v>177</v>
      </c>
      <c r="S15" s="144" t="s">
        <v>143</v>
      </c>
    </row>
    <row r="16" spans="3:19" ht="42.75" x14ac:dyDescent="0.15">
      <c r="C16" s="144" t="s">
        <v>179</v>
      </c>
      <c r="D16" s="144" t="s">
        <v>180</v>
      </c>
      <c r="E16" s="144" t="s">
        <v>181</v>
      </c>
      <c r="F16" s="144" t="s">
        <v>182</v>
      </c>
      <c r="G16" s="144" t="s">
        <v>183</v>
      </c>
      <c r="H16" s="144" t="s">
        <v>184</v>
      </c>
      <c r="I16" s="144" t="s">
        <v>185</v>
      </c>
      <c r="J16" s="144" t="s">
        <v>186</v>
      </c>
      <c r="K16" s="144" t="s">
        <v>187</v>
      </c>
      <c r="L16" s="144" t="s">
        <v>188</v>
      </c>
      <c r="M16" s="144" t="s">
        <v>189</v>
      </c>
      <c r="N16" s="144" t="s">
        <v>190</v>
      </c>
      <c r="O16" s="144" t="s">
        <v>191</v>
      </c>
      <c r="P16" s="144" t="s">
        <v>192</v>
      </c>
      <c r="Q16" s="144" t="s">
        <v>193</v>
      </c>
      <c r="R16" s="144" t="s">
        <v>194</v>
      </c>
      <c r="S16" s="144" t="s">
        <v>195</v>
      </c>
    </row>
    <row r="17" spans="3:19" x14ac:dyDescent="0.15">
      <c r="C17" s="145" t="s">
        <v>204</v>
      </c>
      <c r="D17" s="145" t="s">
        <v>225</v>
      </c>
      <c r="E17" s="145" t="s">
        <v>209</v>
      </c>
      <c r="F17" s="145" t="s">
        <v>214</v>
      </c>
      <c r="G17" s="145" t="s">
        <v>210</v>
      </c>
      <c r="H17" s="145" t="s">
        <v>211</v>
      </c>
      <c r="I17" s="145" t="s">
        <v>212</v>
      </c>
      <c r="J17" s="145" t="s">
        <v>208</v>
      </c>
      <c r="K17" s="145" t="s">
        <v>224</v>
      </c>
      <c r="L17" s="145" t="s">
        <v>204</v>
      </c>
      <c r="M17" s="145" t="s">
        <v>225</v>
      </c>
      <c r="N17" s="147" t="s">
        <v>228</v>
      </c>
      <c r="O17" s="145" t="s">
        <v>229</v>
      </c>
      <c r="P17" s="145" t="s">
        <v>225</v>
      </c>
      <c r="Q17" s="147" t="s">
        <v>227</v>
      </c>
      <c r="R17" s="145" t="s">
        <v>230</v>
      </c>
      <c r="S17" s="145" t="s">
        <v>225</v>
      </c>
    </row>
    <row r="18" spans="3:19" x14ac:dyDescent="0.15">
      <c r="C18" s="145" t="s">
        <v>156</v>
      </c>
      <c r="D18" s="145" t="s">
        <v>225</v>
      </c>
      <c r="E18" s="145" t="s">
        <v>209</v>
      </c>
      <c r="F18" s="145" t="s">
        <v>213</v>
      </c>
      <c r="G18" s="145" t="s">
        <v>210</v>
      </c>
      <c r="H18" s="145" t="s">
        <v>211</v>
      </c>
      <c r="I18" s="145" t="s">
        <v>219</v>
      </c>
      <c r="J18" s="145" t="s">
        <v>208</v>
      </c>
      <c r="K18" s="145" t="s">
        <v>224</v>
      </c>
      <c r="L18" s="145" t="s">
        <v>204</v>
      </c>
      <c r="M18" s="145" t="s">
        <v>225</v>
      </c>
      <c r="N18" s="147" t="s">
        <v>226</v>
      </c>
      <c r="O18" s="145" t="s">
        <v>229</v>
      </c>
      <c r="P18" s="145" t="s">
        <v>225</v>
      </c>
      <c r="Q18" s="147" t="s">
        <v>227</v>
      </c>
      <c r="R18" s="145" t="s">
        <v>230</v>
      </c>
      <c r="S18" s="145" t="s">
        <v>225</v>
      </c>
    </row>
    <row r="22" spans="3:19" x14ac:dyDescent="0.15">
      <c r="C22" s="140" t="s">
        <v>198</v>
      </c>
    </row>
    <row r="23" spans="3:19" x14ac:dyDescent="0.15">
      <c r="C23" s="140" t="s">
        <v>126</v>
      </c>
    </row>
    <row r="24" spans="3:19" x14ac:dyDescent="0.15">
      <c r="C24" s="141" t="s">
        <v>158</v>
      </c>
      <c r="D24" s="141" t="s">
        <v>159</v>
      </c>
    </row>
    <row r="25" spans="3:19" ht="42.75" x14ac:dyDescent="0.15">
      <c r="C25" s="144" t="s">
        <v>160</v>
      </c>
      <c r="D25" s="144" t="s">
        <v>161</v>
      </c>
      <c r="E25" s="144" t="s">
        <v>162</v>
      </c>
      <c r="F25" s="144" t="s">
        <v>163</v>
      </c>
      <c r="G25" s="144" t="s">
        <v>164</v>
      </c>
      <c r="H25" s="144" t="s">
        <v>165</v>
      </c>
      <c r="I25" s="144" t="s">
        <v>166</v>
      </c>
      <c r="J25" s="144" t="s">
        <v>167</v>
      </c>
      <c r="K25" s="144" t="s">
        <v>168</v>
      </c>
      <c r="L25" s="144" t="s">
        <v>169</v>
      </c>
      <c r="M25" s="144" t="s">
        <v>170</v>
      </c>
      <c r="N25" s="144" t="s">
        <v>171</v>
      </c>
      <c r="O25" s="144" t="s">
        <v>172</v>
      </c>
      <c r="P25" s="144" t="s">
        <v>173</v>
      </c>
      <c r="Q25" s="144" t="s">
        <v>174</v>
      </c>
      <c r="R25" s="144" t="s">
        <v>175</v>
      </c>
      <c r="S25" s="144" t="s">
        <v>176</v>
      </c>
    </row>
    <row r="26" spans="3:19" ht="14.25" x14ac:dyDescent="0.15">
      <c r="C26" s="144" t="s">
        <v>143</v>
      </c>
      <c r="D26" s="144" t="s">
        <v>177</v>
      </c>
      <c r="E26" s="144" t="s">
        <v>177</v>
      </c>
      <c r="F26" s="144" t="s">
        <v>178</v>
      </c>
      <c r="G26" s="144" t="s">
        <v>178</v>
      </c>
      <c r="H26" s="144" t="s">
        <v>177</v>
      </c>
      <c r="I26" s="144" t="s">
        <v>178</v>
      </c>
      <c r="J26" s="144" t="s">
        <v>177</v>
      </c>
      <c r="K26" s="144" t="s">
        <v>177</v>
      </c>
      <c r="L26" s="144" t="s">
        <v>143</v>
      </c>
      <c r="M26" s="144" t="s">
        <v>143</v>
      </c>
      <c r="N26" s="144" t="s">
        <v>177</v>
      </c>
      <c r="O26" s="144" t="s">
        <v>177</v>
      </c>
      <c r="P26" s="144" t="s">
        <v>143</v>
      </c>
      <c r="Q26" s="144" t="s">
        <v>177</v>
      </c>
      <c r="R26" s="144" t="s">
        <v>177</v>
      </c>
      <c r="S26" s="144" t="s">
        <v>143</v>
      </c>
    </row>
    <row r="27" spans="3:19" ht="42.75" x14ac:dyDescent="0.15">
      <c r="C27" s="144" t="s">
        <v>179</v>
      </c>
      <c r="D27" s="144" t="s">
        <v>180</v>
      </c>
      <c r="E27" s="144" t="s">
        <v>181</v>
      </c>
      <c r="F27" s="144" t="s">
        <v>182</v>
      </c>
      <c r="G27" s="144" t="s">
        <v>183</v>
      </c>
      <c r="H27" s="144" t="s">
        <v>184</v>
      </c>
      <c r="I27" s="144" t="s">
        <v>185</v>
      </c>
      <c r="J27" s="144" t="s">
        <v>186</v>
      </c>
      <c r="K27" s="144" t="s">
        <v>187</v>
      </c>
      <c r="L27" s="144" t="s">
        <v>188</v>
      </c>
      <c r="M27" s="144" t="s">
        <v>189</v>
      </c>
      <c r="N27" s="144" t="s">
        <v>190</v>
      </c>
      <c r="O27" s="144" t="s">
        <v>191</v>
      </c>
      <c r="P27" s="144" t="s">
        <v>192</v>
      </c>
      <c r="Q27" s="144" t="s">
        <v>193</v>
      </c>
      <c r="R27" s="144" t="s">
        <v>194</v>
      </c>
      <c r="S27" s="144" t="s">
        <v>195</v>
      </c>
    </row>
    <row r="28" spans="3:19" x14ac:dyDescent="0.15">
      <c r="C28" s="145" t="s">
        <v>204</v>
      </c>
      <c r="D28" s="145" t="s">
        <v>208</v>
      </c>
      <c r="E28" s="145" t="s">
        <v>86</v>
      </c>
      <c r="F28" s="145" t="s">
        <v>214</v>
      </c>
      <c r="G28" s="145" t="s">
        <v>210</v>
      </c>
      <c r="H28" s="145" t="s">
        <v>211</v>
      </c>
      <c r="I28" s="145" t="s">
        <v>212</v>
      </c>
      <c r="J28" s="145" t="s">
        <v>208</v>
      </c>
      <c r="K28" s="145" t="s">
        <v>224</v>
      </c>
      <c r="L28" s="145" t="s">
        <v>204</v>
      </c>
      <c r="M28" s="145" t="s">
        <v>225</v>
      </c>
      <c r="N28" s="147" t="s">
        <v>228</v>
      </c>
      <c r="O28" s="145" t="s">
        <v>229</v>
      </c>
      <c r="P28" s="145" t="s">
        <v>225</v>
      </c>
      <c r="Q28" s="147" t="s">
        <v>227</v>
      </c>
      <c r="R28" s="145" t="s">
        <v>230</v>
      </c>
      <c r="S28" s="145" t="s">
        <v>225</v>
      </c>
    </row>
    <row r="32" spans="3:19" x14ac:dyDescent="0.15">
      <c r="C32" s="140" t="s">
        <v>231</v>
      </c>
    </row>
    <row r="33" spans="3:19" x14ac:dyDescent="0.15">
      <c r="C33" s="140" t="s">
        <v>126</v>
      </c>
    </row>
    <row r="34" spans="3:19" x14ac:dyDescent="0.15">
      <c r="C34" s="141" t="s">
        <v>158</v>
      </c>
      <c r="D34" s="141" t="s">
        <v>159</v>
      </c>
    </row>
    <row r="35" spans="3:19" ht="42.75" x14ac:dyDescent="0.15">
      <c r="C35" s="144" t="s">
        <v>160</v>
      </c>
      <c r="D35" s="144" t="s">
        <v>161</v>
      </c>
      <c r="E35" s="144" t="s">
        <v>162</v>
      </c>
      <c r="F35" s="144" t="s">
        <v>163</v>
      </c>
      <c r="G35" s="144" t="s">
        <v>164</v>
      </c>
      <c r="H35" s="144" t="s">
        <v>165</v>
      </c>
      <c r="I35" s="144" t="s">
        <v>166</v>
      </c>
      <c r="J35" s="144" t="s">
        <v>167</v>
      </c>
      <c r="K35" s="144" t="s">
        <v>168</v>
      </c>
      <c r="L35" s="144" t="s">
        <v>169</v>
      </c>
      <c r="M35" s="144" t="s">
        <v>170</v>
      </c>
      <c r="N35" s="144" t="s">
        <v>171</v>
      </c>
      <c r="O35" s="144" t="s">
        <v>172</v>
      </c>
      <c r="P35" s="144" t="s">
        <v>173</v>
      </c>
      <c r="Q35" s="144" t="s">
        <v>174</v>
      </c>
      <c r="R35" s="144" t="s">
        <v>175</v>
      </c>
      <c r="S35" s="144" t="s">
        <v>176</v>
      </c>
    </row>
    <row r="36" spans="3:19" ht="14.25" x14ac:dyDescent="0.15">
      <c r="C36" s="144" t="s">
        <v>143</v>
      </c>
      <c r="D36" s="144" t="s">
        <v>177</v>
      </c>
      <c r="E36" s="144" t="s">
        <v>177</v>
      </c>
      <c r="F36" s="144" t="s">
        <v>178</v>
      </c>
      <c r="G36" s="144" t="s">
        <v>178</v>
      </c>
      <c r="H36" s="144" t="s">
        <v>177</v>
      </c>
      <c r="I36" s="144" t="s">
        <v>178</v>
      </c>
      <c r="J36" s="144" t="s">
        <v>177</v>
      </c>
      <c r="K36" s="144" t="s">
        <v>177</v>
      </c>
      <c r="L36" s="144" t="s">
        <v>143</v>
      </c>
      <c r="M36" s="144" t="s">
        <v>143</v>
      </c>
      <c r="N36" s="144" t="s">
        <v>177</v>
      </c>
      <c r="O36" s="144" t="s">
        <v>177</v>
      </c>
      <c r="P36" s="144" t="s">
        <v>143</v>
      </c>
      <c r="Q36" s="144" t="s">
        <v>177</v>
      </c>
      <c r="R36" s="144" t="s">
        <v>177</v>
      </c>
      <c r="S36" s="144" t="s">
        <v>143</v>
      </c>
    </row>
    <row r="37" spans="3:19" ht="42.75" x14ac:dyDescent="0.15">
      <c r="C37" s="144" t="s">
        <v>179</v>
      </c>
      <c r="D37" s="144" t="s">
        <v>180</v>
      </c>
      <c r="E37" s="144" t="s">
        <v>181</v>
      </c>
      <c r="F37" s="144" t="s">
        <v>182</v>
      </c>
      <c r="G37" s="144" t="s">
        <v>183</v>
      </c>
      <c r="H37" s="144" t="s">
        <v>184</v>
      </c>
      <c r="I37" s="144" t="s">
        <v>185</v>
      </c>
      <c r="J37" s="144" t="s">
        <v>186</v>
      </c>
      <c r="K37" s="144" t="s">
        <v>187</v>
      </c>
      <c r="L37" s="144" t="s">
        <v>188</v>
      </c>
      <c r="M37" s="144" t="s">
        <v>189</v>
      </c>
      <c r="N37" s="144" t="s">
        <v>190</v>
      </c>
      <c r="O37" s="144" t="s">
        <v>191</v>
      </c>
      <c r="P37" s="144" t="s">
        <v>192</v>
      </c>
      <c r="Q37" s="144" t="s">
        <v>193</v>
      </c>
      <c r="R37" s="144" t="s">
        <v>194</v>
      </c>
      <c r="S37" s="144" t="s">
        <v>195</v>
      </c>
    </row>
    <row r="38" spans="3:19" x14ac:dyDescent="0.15">
      <c r="C38" s="145" t="s">
        <v>204</v>
      </c>
      <c r="D38" s="145" t="s">
        <v>233</v>
      </c>
      <c r="E38" s="145" t="s">
        <v>234</v>
      </c>
      <c r="F38" s="145" t="s">
        <v>214</v>
      </c>
      <c r="G38" s="145" t="s">
        <v>210</v>
      </c>
      <c r="H38" s="145" t="s">
        <v>211</v>
      </c>
      <c r="I38" s="145" t="s">
        <v>212</v>
      </c>
      <c r="J38" s="145" t="s">
        <v>208</v>
      </c>
      <c r="K38" s="145" t="s">
        <v>224</v>
      </c>
      <c r="L38" s="145" t="s">
        <v>204</v>
      </c>
      <c r="M38" s="145" t="s">
        <v>225</v>
      </c>
      <c r="N38" s="147" t="s">
        <v>228</v>
      </c>
      <c r="O38" s="145" t="s">
        <v>229</v>
      </c>
      <c r="P38" s="145" t="s">
        <v>225</v>
      </c>
      <c r="Q38" s="147" t="s">
        <v>227</v>
      </c>
      <c r="R38" s="145" t="s">
        <v>230</v>
      </c>
      <c r="S38" s="145" t="s">
        <v>225</v>
      </c>
    </row>
    <row r="42" spans="3:19" x14ac:dyDescent="0.15">
      <c r="C42" s="140" t="s">
        <v>232</v>
      </c>
    </row>
    <row r="43" spans="3:19" x14ac:dyDescent="0.15">
      <c r="C43" s="140" t="s">
        <v>126</v>
      </c>
    </row>
    <row r="44" spans="3:19" x14ac:dyDescent="0.15">
      <c r="C44" s="141" t="s">
        <v>158</v>
      </c>
      <c r="D44" s="141" t="s">
        <v>159</v>
      </c>
    </row>
    <row r="45" spans="3:19" ht="42.75" x14ac:dyDescent="0.15">
      <c r="C45" s="144" t="s">
        <v>160</v>
      </c>
      <c r="D45" s="144" t="s">
        <v>161</v>
      </c>
      <c r="E45" s="144" t="s">
        <v>162</v>
      </c>
      <c r="F45" s="144" t="s">
        <v>163</v>
      </c>
      <c r="G45" s="144" t="s">
        <v>164</v>
      </c>
      <c r="H45" s="144" t="s">
        <v>165</v>
      </c>
      <c r="I45" s="144" t="s">
        <v>166</v>
      </c>
      <c r="J45" s="144" t="s">
        <v>167</v>
      </c>
      <c r="K45" s="144" t="s">
        <v>168</v>
      </c>
      <c r="L45" s="144" t="s">
        <v>169</v>
      </c>
      <c r="M45" s="144" t="s">
        <v>170</v>
      </c>
      <c r="N45" s="144" t="s">
        <v>171</v>
      </c>
      <c r="O45" s="144" t="s">
        <v>172</v>
      </c>
      <c r="P45" s="144" t="s">
        <v>173</v>
      </c>
      <c r="Q45" s="144" t="s">
        <v>174</v>
      </c>
      <c r="R45" s="144" t="s">
        <v>175</v>
      </c>
      <c r="S45" s="144" t="s">
        <v>176</v>
      </c>
    </row>
    <row r="46" spans="3:19" ht="14.25" x14ac:dyDescent="0.15">
      <c r="C46" s="144" t="s">
        <v>143</v>
      </c>
      <c r="D46" s="144" t="s">
        <v>177</v>
      </c>
      <c r="E46" s="144" t="s">
        <v>177</v>
      </c>
      <c r="F46" s="144" t="s">
        <v>178</v>
      </c>
      <c r="G46" s="144" t="s">
        <v>178</v>
      </c>
      <c r="H46" s="144" t="s">
        <v>177</v>
      </c>
      <c r="I46" s="144" t="s">
        <v>178</v>
      </c>
      <c r="J46" s="144" t="s">
        <v>177</v>
      </c>
      <c r="K46" s="144" t="s">
        <v>177</v>
      </c>
      <c r="L46" s="144" t="s">
        <v>143</v>
      </c>
      <c r="M46" s="144" t="s">
        <v>143</v>
      </c>
      <c r="N46" s="144" t="s">
        <v>177</v>
      </c>
      <c r="O46" s="144" t="s">
        <v>177</v>
      </c>
      <c r="P46" s="144" t="s">
        <v>143</v>
      </c>
      <c r="Q46" s="144" t="s">
        <v>177</v>
      </c>
      <c r="R46" s="144" t="s">
        <v>177</v>
      </c>
      <c r="S46" s="144" t="s">
        <v>143</v>
      </c>
    </row>
    <row r="47" spans="3:19" ht="42.75" x14ac:dyDescent="0.15">
      <c r="C47" s="144" t="s">
        <v>179</v>
      </c>
      <c r="D47" s="144" t="s">
        <v>180</v>
      </c>
      <c r="E47" s="144" t="s">
        <v>181</v>
      </c>
      <c r="F47" s="144" t="s">
        <v>182</v>
      </c>
      <c r="G47" s="144" t="s">
        <v>183</v>
      </c>
      <c r="H47" s="144" t="s">
        <v>184</v>
      </c>
      <c r="I47" s="144" t="s">
        <v>185</v>
      </c>
      <c r="J47" s="144" t="s">
        <v>186</v>
      </c>
      <c r="K47" s="144" t="s">
        <v>187</v>
      </c>
      <c r="L47" s="144" t="s">
        <v>188</v>
      </c>
      <c r="M47" s="144" t="s">
        <v>189</v>
      </c>
      <c r="N47" s="144" t="s">
        <v>190</v>
      </c>
      <c r="O47" s="144" t="s">
        <v>191</v>
      </c>
      <c r="P47" s="144" t="s">
        <v>192</v>
      </c>
      <c r="Q47" s="144" t="s">
        <v>193</v>
      </c>
      <c r="R47" s="144" t="s">
        <v>194</v>
      </c>
      <c r="S47" s="144" t="s">
        <v>195</v>
      </c>
    </row>
    <row r="48" spans="3:19" x14ac:dyDescent="0.15">
      <c r="C48" s="145" t="s">
        <v>204</v>
      </c>
      <c r="D48" s="145" t="s">
        <v>225</v>
      </c>
      <c r="E48" s="145" t="s">
        <v>236</v>
      </c>
      <c r="F48" s="145" t="s">
        <v>214</v>
      </c>
      <c r="G48" s="145" t="s">
        <v>210</v>
      </c>
      <c r="H48" s="145" t="s">
        <v>211</v>
      </c>
      <c r="I48" s="145" t="s">
        <v>212</v>
      </c>
      <c r="J48" s="145" t="s">
        <v>208</v>
      </c>
      <c r="K48" s="145" t="s">
        <v>224</v>
      </c>
      <c r="L48" s="145" t="s">
        <v>204</v>
      </c>
      <c r="M48" s="145" t="s">
        <v>225</v>
      </c>
      <c r="N48" s="147" t="s">
        <v>228</v>
      </c>
      <c r="O48" s="145" t="s">
        <v>229</v>
      </c>
      <c r="P48" s="145" t="s">
        <v>225</v>
      </c>
      <c r="Q48" s="147" t="s">
        <v>227</v>
      </c>
      <c r="R48" s="145" t="s">
        <v>230</v>
      </c>
      <c r="S48" s="145" t="s">
        <v>225</v>
      </c>
    </row>
    <row r="52" spans="3:19" x14ac:dyDescent="0.15">
      <c r="C52" s="141" t="s">
        <v>237</v>
      </c>
    </row>
    <row r="53" spans="3:19" x14ac:dyDescent="0.15">
      <c r="C53" s="141" t="s">
        <v>238</v>
      </c>
      <c r="D53" s="141" t="s">
        <v>239</v>
      </c>
    </row>
    <row r="54" spans="3:19" ht="42.75" x14ac:dyDescent="0.15">
      <c r="C54" s="144" t="s">
        <v>166</v>
      </c>
      <c r="D54" s="144" t="s">
        <v>240</v>
      </c>
      <c r="E54" s="144" t="s">
        <v>241</v>
      </c>
      <c r="F54" s="144" t="s">
        <v>242</v>
      </c>
      <c r="G54" s="144" t="s">
        <v>243</v>
      </c>
      <c r="H54" s="144" t="s">
        <v>244</v>
      </c>
      <c r="I54" s="144" t="s">
        <v>245</v>
      </c>
      <c r="J54" s="144" t="s">
        <v>246</v>
      </c>
      <c r="K54" s="144" t="s">
        <v>247</v>
      </c>
      <c r="L54" s="144" t="s">
        <v>173</v>
      </c>
      <c r="M54" s="144" t="s">
        <v>176</v>
      </c>
    </row>
    <row r="55" spans="3:19" ht="28.5" x14ac:dyDescent="0.15">
      <c r="C55" s="144" t="s">
        <v>178</v>
      </c>
      <c r="D55" s="144" t="s">
        <v>143</v>
      </c>
      <c r="E55" s="144" t="s">
        <v>248</v>
      </c>
      <c r="F55" s="144" t="s">
        <v>143</v>
      </c>
      <c r="G55" s="144" t="s">
        <v>248</v>
      </c>
      <c r="H55" s="144" t="s">
        <v>143</v>
      </c>
      <c r="I55" s="144" t="s">
        <v>248</v>
      </c>
      <c r="J55" s="144" t="s">
        <v>143</v>
      </c>
      <c r="K55" s="144" t="s">
        <v>177</v>
      </c>
      <c r="L55" s="144" t="s">
        <v>143</v>
      </c>
      <c r="M55" s="144" t="s">
        <v>143</v>
      </c>
    </row>
    <row r="56" spans="3:19" ht="42.75" x14ac:dyDescent="0.15">
      <c r="C56" s="144" t="s">
        <v>185</v>
      </c>
      <c r="D56" s="144" t="s">
        <v>249</v>
      </c>
      <c r="E56" s="144" t="s">
        <v>250</v>
      </c>
      <c r="F56" s="144" t="s">
        <v>251</v>
      </c>
      <c r="G56" s="144" t="s">
        <v>252</v>
      </c>
      <c r="H56" s="144" t="s">
        <v>253</v>
      </c>
      <c r="I56" s="144" t="s">
        <v>254</v>
      </c>
      <c r="J56" s="144" t="s">
        <v>255</v>
      </c>
      <c r="K56" s="144" t="s">
        <v>256</v>
      </c>
      <c r="L56" s="144" t="s">
        <v>192</v>
      </c>
      <c r="M56" s="144" t="s">
        <v>195</v>
      </c>
    </row>
    <row r="60" spans="3:19" x14ac:dyDescent="0.15">
      <c r="C60" s="140" t="s">
        <v>235</v>
      </c>
    </row>
    <row r="61" spans="3:19" x14ac:dyDescent="0.15">
      <c r="C61" s="140" t="s">
        <v>126</v>
      </c>
    </row>
    <row r="62" spans="3:19" x14ac:dyDescent="0.15">
      <c r="C62" s="141" t="s">
        <v>158</v>
      </c>
      <c r="D62" s="141" t="s">
        <v>159</v>
      </c>
    </row>
    <row r="63" spans="3:19" ht="42.75" x14ac:dyDescent="0.15">
      <c r="C63" s="144" t="s">
        <v>160</v>
      </c>
      <c r="D63" s="144" t="s">
        <v>161</v>
      </c>
      <c r="E63" s="144" t="s">
        <v>162</v>
      </c>
      <c r="F63" s="144" t="s">
        <v>163</v>
      </c>
      <c r="G63" s="144" t="s">
        <v>164</v>
      </c>
      <c r="H63" s="144" t="s">
        <v>165</v>
      </c>
      <c r="I63" s="144" t="s">
        <v>166</v>
      </c>
      <c r="J63" s="144" t="s">
        <v>167</v>
      </c>
      <c r="K63" s="144" t="s">
        <v>168</v>
      </c>
      <c r="L63" s="144" t="s">
        <v>169</v>
      </c>
      <c r="M63" s="144" t="s">
        <v>170</v>
      </c>
      <c r="N63" s="144" t="s">
        <v>171</v>
      </c>
      <c r="O63" s="144" t="s">
        <v>172</v>
      </c>
      <c r="P63" s="144" t="s">
        <v>173</v>
      </c>
      <c r="Q63" s="144" t="s">
        <v>174</v>
      </c>
      <c r="R63" s="144" t="s">
        <v>175</v>
      </c>
      <c r="S63" s="144" t="s">
        <v>176</v>
      </c>
    </row>
    <row r="64" spans="3:19" ht="14.25" x14ac:dyDescent="0.15">
      <c r="C64" s="144" t="s">
        <v>143</v>
      </c>
      <c r="D64" s="144" t="s">
        <v>177</v>
      </c>
      <c r="E64" s="144" t="s">
        <v>177</v>
      </c>
      <c r="F64" s="144" t="s">
        <v>178</v>
      </c>
      <c r="G64" s="144" t="s">
        <v>178</v>
      </c>
      <c r="H64" s="144" t="s">
        <v>177</v>
      </c>
      <c r="I64" s="144" t="s">
        <v>178</v>
      </c>
      <c r="J64" s="144" t="s">
        <v>177</v>
      </c>
      <c r="K64" s="144" t="s">
        <v>177</v>
      </c>
      <c r="L64" s="144" t="s">
        <v>143</v>
      </c>
      <c r="M64" s="144" t="s">
        <v>143</v>
      </c>
      <c r="N64" s="144" t="s">
        <v>177</v>
      </c>
      <c r="O64" s="144" t="s">
        <v>177</v>
      </c>
      <c r="P64" s="144" t="s">
        <v>143</v>
      </c>
      <c r="Q64" s="144" t="s">
        <v>177</v>
      </c>
      <c r="R64" s="144" t="s">
        <v>177</v>
      </c>
      <c r="S64" s="144" t="s">
        <v>143</v>
      </c>
    </row>
    <row r="65" spans="3:19" ht="42.75" x14ac:dyDescent="0.15">
      <c r="C65" s="144" t="s">
        <v>179</v>
      </c>
      <c r="D65" s="144" t="s">
        <v>180</v>
      </c>
      <c r="E65" s="144" t="s">
        <v>181</v>
      </c>
      <c r="F65" s="144" t="s">
        <v>182</v>
      </c>
      <c r="G65" s="144" t="s">
        <v>183</v>
      </c>
      <c r="H65" s="144" t="s">
        <v>184</v>
      </c>
      <c r="I65" s="144" t="s">
        <v>185</v>
      </c>
      <c r="J65" s="144" t="s">
        <v>186</v>
      </c>
      <c r="K65" s="144" t="s">
        <v>187</v>
      </c>
      <c r="L65" s="144" t="s">
        <v>188</v>
      </c>
      <c r="M65" s="144" t="s">
        <v>189</v>
      </c>
      <c r="N65" s="144" t="s">
        <v>190</v>
      </c>
      <c r="O65" s="144" t="s">
        <v>191</v>
      </c>
      <c r="P65" s="144" t="s">
        <v>192</v>
      </c>
      <c r="Q65" s="144" t="s">
        <v>193</v>
      </c>
      <c r="R65" s="144" t="s">
        <v>194</v>
      </c>
      <c r="S65" s="144" t="s">
        <v>195</v>
      </c>
    </row>
    <row r="66" spans="3:19" x14ac:dyDescent="0.15">
      <c r="C66" s="145" t="s">
        <v>204</v>
      </c>
      <c r="D66" s="145" t="s">
        <v>225</v>
      </c>
      <c r="E66" s="145" t="s">
        <v>236</v>
      </c>
      <c r="F66" s="145" t="s">
        <v>214</v>
      </c>
      <c r="G66" s="145" t="s">
        <v>210</v>
      </c>
      <c r="H66" s="145" t="s">
        <v>211</v>
      </c>
      <c r="I66" s="145" t="s">
        <v>212</v>
      </c>
      <c r="J66" s="145" t="s">
        <v>225</v>
      </c>
      <c r="K66" s="145" t="s">
        <v>257</v>
      </c>
      <c r="L66" s="145" t="s">
        <v>204</v>
      </c>
      <c r="M66" s="145" t="s">
        <v>225</v>
      </c>
      <c r="N66" s="147" t="s">
        <v>228</v>
      </c>
      <c r="O66" s="145" t="s">
        <v>229</v>
      </c>
      <c r="P66" s="145" t="s">
        <v>225</v>
      </c>
      <c r="Q66" s="147" t="s">
        <v>227</v>
      </c>
      <c r="R66" s="145" t="s">
        <v>230</v>
      </c>
      <c r="S66" s="145" t="s">
        <v>225</v>
      </c>
    </row>
    <row r="70" spans="3:19" x14ac:dyDescent="0.15">
      <c r="C70" s="141" t="s">
        <v>237</v>
      </c>
    </row>
    <row r="71" spans="3:19" x14ac:dyDescent="0.15">
      <c r="C71" s="141" t="s">
        <v>238</v>
      </c>
      <c r="D71" s="141" t="s">
        <v>239</v>
      </c>
    </row>
    <row r="72" spans="3:19" ht="42.75" x14ac:dyDescent="0.15">
      <c r="C72" s="144" t="s">
        <v>166</v>
      </c>
      <c r="D72" s="144" t="s">
        <v>240</v>
      </c>
      <c r="E72" s="144" t="s">
        <v>241</v>
      </c>
      <c r="F72" s="144" t="s">
        <v>242</v>
      </c>
      <c r="G72" s="144" t="s">
        <v>243</v>
      </c>
      <c r="H72" s="144" t="s">
        <v>244</v>
      </c>
      <c r="I72" s="144" t="s">
        <v>245</v>
      </c>
      <c r="J72" s="144" t="s">
        <v>246</v>
      </c>
      <c r="K72" s="144" t="s">
        <v>247</v>
      </c>
      <c r="L72" s="144" t="s">
        <v>173</v>
      </c>
      <c r="M72" s="144" t="s">
        <v>176</v>
      </c>
    </row>
    <row r="73" spans="3:19" ht="28.5" x14ac:dyDescent="0.15">
      <c r="C73" s="144" t="s">
        <v>178</v>
      </c>
      <c r="D73" s="144" t="s">
        <v>143</v>
      </c>
      <c r="E73" s="144" t="s">
        <v>248</v>
      </c>
      <c r="F73" s="144" t="s">
        <v>143</v>
      </c>
      <c r="G73" s="144" t="s">
        <v>248</v>
      </c>
      <c r="H73" s="144" t="s">
        <v>143</v>
      </c>
      <c r="I73" s="144" t="s">
        <v>248</v>
      </c>
      <c r="J73" s="144" t="s">
        <v>143</v>
      </c>
      <c r="K73" s="144" t="s">
        <v>177</v>
      </c>
      <c r="L73" s="144" t="s">
        <v>143</v>
      </c>
      <c r="M73" s="144" t="s">
        <v>143</v>
      </c>
    </row>
    <row r="74" spans="3:19" ht="42.75" x14ac:dyDescent="0.15">
      <c r="C74" s="144" t="s">
        <v>185</v>
      </c>
      <c r="D74" s="144" t="s">
        <v>249</v>
      </c>
      <c r="E74" s="144" t="s">
        <v>250</v>
      </c>
      <c r="F74" s="144" t="s">
        <v>251</v>
      </c>
      <c r="G74" s="144" t="s">
        <v>252</v>
      </c>
      <c r="H74" s="144" t="s">
        <v>253</v>
      </c>
      <c r="I74" s="144" t="s">
        <v>254</v>
      </c>
      <c r="J74" s="144" t="s">
        <v>255</v>
      </c>
      <c r="K74" s="144" t="s">
        <v>256</v>
      </c>
      <c r="L74" s="144" t="s">
        <v>192</v>
      </c>
      <c r="M74" s="144" t="s">
        <v>195</v>
      </c>
    </row>
    <row r="75" spans="3:19" x14ac:dyDescent="0.15">
      <c r="C75" s="145" t="s">
        <v>212</v>
      </c>
      <c r="D75" s="143"/>
      <c r="E75" s="143"/>
      <c r="F75" s="143"/>
      <c r="G75" s="143"/>
      <c r="H75" s="143"/>
      <c r="I75" s="143"/>
      <c r="J75" s="143"/>
      <c r="K75" s="143"/>
      <c r="L75" s="143" t="s">
        <v>225</v>
      </c>
      <c r="M75" s="143" t="s">
        <v>225</v>
      </c>
    </row>
    <row r="79" spans="3:19" x14ac:dyDescent="0.15">
      <c r="C79" s="140" t="s">
        <v>258</v>
      </c>
    </row>
    <row r="80" spans="3:19" x14ac:dyDescent="0.15">
      <c r="C80" s="140" t="s">
        <v>126</v>
      </c>
    </row>
    <row r="81" spans="3:19" x14ac:dyDescent="0.15">
      <c r="C81" s="141" t="s">
        <v>158</v>
      </c>
      <c r="D81" s="141" t="s">
        <v>159</v>
      </c>
    </row>
    <row r="82" spans="3:19" ht="42.75" x14ac:dyDescent="0.15">
      <c r="C82" s="144" t="s">
        <v>160</v>
      </c>
      <c r="D82" s="144" t="s">
        <v>161</v>
      </c>
      <c r="E82" s="144" t="s">
        <v>162</v>
      </c>
      <c r="F82" s="144" t="s">
        <v>163</v>
      </c>
      <c r="G82" s="144" t="s">
        <v>164</v>
      </c>
      <c r="H82" s="144" t="s">
        <v>165</v>
      </c>
      <c r="I82" s="144" t="s">
        <v>166</v>
      </c>
      <c r="J82" s="144" t="s">
        <v>167</v>
      </c>
      <c r="K82" s="144" t="s">
        <v>168</v>
      </c>
      <c r="L82" s="144" t="s">
        <v>169</v>
      </c>
      <c r="M82" s="144" t="s">
        <v>170</v>
      </c>
      <c r="N82" s="144" t="s">
        <v>171</v>
      </c>
      <c r="O82" s="144" t="s">
        <v>172</v>
      </c>
      <c r="P82" s="144" t="s">
        <v>173</v>
      </c>
      <c r="Q82" s="144" t="s">
        <v>174</v>
      </c>
      <c r="R82" s="144" t="s">
        <v>175</v>
      </c>
      <c r="S82" s="144" t="s">
        <v>176</v>
      </c>
    </row>
    <row r="83" spans="3:19" ht="14.25" x14ac:dyDescent="0.15">
      <c r="C83" s="144" t="s">
        <v>143</v>
      </c>
      <c r="D83" s="144" t="s">
        <v>177</v>
      </c>
      <c r="E83" s="144" t="s">
        <v>177</v>
      </c>
      <c r="F83" s="144" t="s">
        <v>178</v>
      </c>
      <c r="G83" s="144" t="s">
        <v>178</v>
      </c>
      <c r="H83" s="144" t="s">
        <v>177</v>
      </c>
      <c r="I83" s="144" t="s">
        <v>178</v>
      </c>
      <c r="J83" s="144" t="s">
        <v>177</v>
      </c>
      <c r="K83" s="144" t="s">
        <v>177</v>
      </c>
      <c r="L83" s="144" t="s">
        <v>143</v>
      </c>
      <c r="M83" s="144" t="s">
        <v>143</v>
      </c>
      <c r="N83" s="144" t="s">
        <v>177</v>
      </c>
      <c r="O83" s="144" t="s">
        <v>177</v>
      </c>
      <c r="P83" s="144" t="s">
        <v>143</v>
      </c>
      <c r="Q83" s="144" t="s">
        <v>177</v>
      </c>
      <c r="R83" s="144" t="s">
        <v>177</v>
      </c>
      <c r="S83" s="144" t="s">
        <v>143</v>
      </c>
    </row>
    <row r="84" spans="3:19" ht="42.75" x14ac:dyDescent="0.15">
      <c r="C84" s="144" t="s">
        <v>179</v>
      </c>
      <c r="D84" s="144" t="s">
        <v>180</v>
      </c>
      <c r="E84" s="144" t="s">
        <v>181</v>
      </c>
      <c r="F84" s="144" t="s">
        <v>182</v>
      </c>
      <c r="G84" s="144" t="s">
        <v>183</v>
      </c>
      <c r="H84" s="144" t="s">
        <v>184</v>
      </c>
      <c r="I84" s="144" t="s">
        <v>185</v>
      </c>
      <c r="J84" s="144" t="s">
        <v>186</v>
      </c>
      <c r="K84" s="144" t="s">
        <v>187</v>
      </c>
      <c r="L84" s="144" t="s">
        <v>188</v>
      </c>
      <c r="M84" s="144" t="s">
        <v>189</v>
      </c>
      <c r="N84" s="144" t="s">
        <v>190</v>
      </c>
      <c r="O84" s="144" t="s">
        <v>191</v>
      </c>
      <c r="P84" s="144" t="s">
        <v>192</v>
      </c>
      <c r="Q84" s="144" t="s">
        <v>193</v>
      </c>
      <c r="R84" s="144" t="s">
        <v>194</v>
      </c>
      <c r="S84" s="144" t="s">
        <v>195</v>
      </c>
    </row>
    <row r="85" spans="3:19" x14ac:dyDescent="0.15">
      <c r="C85" s="145" t="s">
        <v>204</v>
      </c>
      <c r="D85" s="145" t="s">
        <v>225</v>
      </c>
      <c r="E85" s="145" t="s">
        <v>236</v>
      </c>
      <c r="F85" s="145" t="s">
        <v>214</v>
      </c>
      <c r="G85" s="145" t="s">
        <v>210</v>
      </c>
      <c r="H85" s="145" t="s">
        <v>211</v>
      </c>
      <c r="I85" s="145" t="s">
        <v>212</v>
      </c>
      <c r="J85" s="145" t="s">
        <v>203</v>
      </c>
      <c r="K85" s="145" t="s">
        <v>259</v>
      </c>
      <c r="L85" s="145" t="s">
        <v>204</v>
      </c>
      <c r="M85" s="145" t="s">
        <v>225</v>
      </c>
      <c r="N85" s="147" t="s">
        <v>228</v>
      </c>
      <c r="O85" s="145" t="s">
        <v>229</v>
      </c>
      <c r="P85" s="145" t="s">
        <v>225</v>
      </c>
      <c r="Q85" s="147" t="s">
        <v>227</v>
      </c>
      <c r="R85" s="145" t="s">
        <v>230</v>
      </c>
      <c r="S85" s="145" t="s">
        <v>225</v>
      </c>
    </row>
    <row r="89" spans="3:19" x14ac:dyDescent="0.15">
      <c r="C89" s="141" t="s">
        <v>237</v>
      </c>
    </row>
    <row r="90" spans="3:19" x14ac:dyDescent="0.15">
      <c r="C90" s="141" t="s">
        <v>238</v>
      </c>
      <c r="D90" s="141" t="s">
        <v>239</v>
      </c>
    </row>
    <row r="91" spans="3:19" ht="42.75" x14ac:dyDescent="0.15">
      <c r="C91" s="144" t="s">
        <v>166</v>
      </c>
      <c r="D91" s="144" t="s">
        <v>240</v>
      </c>
      <c r="E91" s="144" t="s">
        <v>241</v>
      </c>
      <c r="F91" s="144" t="s">
        <v>242</v>
      </c>
      <c r="G91" s="144" t="s">
        <v>243</v>
      </c>
      <c r="H91" s="144" t="s">
        <v>244</v>
      </c>
      <c r="I91" s="144" t="s">
        <v>245</v>
      </c>
      <c r="J91" s="144" t="s">
        <v>246</v>
      </c>
      <c r="K91" s="144" t="s">
        <v>247</v>
      </c>
      <c r="L91" s="144" t="s">
        <v>173</v>
      </c>
      <c r="M91" s="144" t="s">
        <v>176</v>
      </c>
    </row>
    <row r="92" spans="3:19" ht="28.5" x14ac:dyDescent="0.15">
      <c r="C92" s="144" t="s">
        <v>178</v>
      </c>
      <c r="D92" s="144" t="s">
        <v>143</v>
      </c>
      <c r="E92" s="144" t="s">
        <v>248</v>
      </c>
      <c r="F92" s="144" t="s">
        <v>143</v>
      </c>
      <c r="G92" s="144" t="s">
        <v>248</v>
      </c>
      <c r="H92" s="144" t="s">
        <v>143</v>
      </c>
      <c r="I92" s="144" t="s">
        <v>248</v>
      </c>
      <c r="J92" s="144" t="s">
        <v>143</v>
      </c>
      <c r="K92" s="144" t="s">
        <v>177</v>
      </c>
      <c r="L92" s="144" t="s">
        <v>143</v>
      </c>
      <c r="M92" s="144" t="s">
        <v>143</v>
      </c>
    </row>
    <row r="93" spans="3:19" ht="42.75" x14ac:dyDescent="0.15">
      <c r="C93" s="144" t="s">
        <v>185</v>
      </c>
      <c r="D93" s="144" t="s">
        <v>249</v>
      </c>
      <c r="E93" s="144" t="s">
        <v>250</v>
      </c>
      <c r="F93" s="144" t="s">
        <v>251</v>
      </c>
      <c r="G93" s="144" t="s">
        <v>252</v>
      </c>
      <c r="H93" s="144" t="s">
        <v>253</v>
      </c>
      <c r="I93" s="144" t="s">
        <v>254</v>
      </c>
      <c r="J93" s="144" t="s">
        <v>255</v>
      </c>
      <c r="K93" s="144" t="s">
        <v>256</v>
      </c>
      <c r="L93" s="144" t="s">
        <v>192</v>
      </c>
      <c r="M93" s="144" t="s">
        <v>195</v>
      </c>
    </row>
    <row r="94" spans="3:19" x14ac:dyDescent="0.15">
      <c r="C94" s="145" t="s">
        <v>212</v>
      </c>
      <c r="D94" s="143"/>
      <c r="E94" s="143"/>
      <c r="F94" s="143"/>
      <c r="G94" s="143"/>
      <c r="H94" s="143"/>
      <c r="I94" s="143"/>
      <c r="J94" s="143"/>
      <c r="K94" s="143"/>
      <c r="L94" s="143" t="s">
        <v>225</v>
      </c>
      <c r="M94" s="143" t="s">
        <v>225</v>
      </c>
    </row>
  </sheetData>
  <phoneticPr fontId="5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BDF01-D32C-436B-AF42-716F3962418F}">
  <sheetPr>
    <pageSetUpPr fitToPage="1"/>
  </sheetPr>
  <dimension ref="A1:Q62"/>
  <sheetViews>
    <sheetView zoomScaleNormal="100" workbookViewId="0"/>
  </sheetViews>
  <sheetFormatPr defaultColWidth="2.5" defaultRowHeight="15" customHeight="1" x14ac:dyDescent="0.15"/>
  <cols>
    <col min="1" max="1" width="1.625" style="1" customWidth="1"/>
    <col min="2" max="2" width="14.875" style="20" customWidth="1"/>
    <col min="3" max="3" width="5.375" style="21" customWidth="1"/>
    <col min="4" max="4" width="45.625" style="22" customWidth="1"/>
    <col min="5" max="17" width="5.625" style="24" customWidth="1"/>
    <col min="18" max="16384" width="2.5" style="1"/>
  </cols>
  <sheetData>
    <row r="1" spans="1:17" ht="26.25" customHeight="1" x14ac:dyDescent="0.15">
      <c r="A1" s="78"/>
      <c r="B1" s="39" t="s">
        <v>32</v>
      </c>
      <c r="C1" s="40">
        <v>4</v>
      </c>
      <c r="D1" s="41" t="s">
        <v>33</v>
      </c>
      <c r="E1" s="77">
        <f>COUNTA(F1:CQ1)</f>
        <v>1</v>
      </c>
      <c r="F1" s="42">
        <v>1</v>
      </c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</row>
    <row r="2" spans="1:17" ht="20.100000000000001" customHeight="1" x14ac:dyDescent="0.15">
      <c r="A2" s="43"/>
      <c r="B2" s="44"/>
      <c r="C2" s="45" t="s">
        <v>34</v>
      </c>
      <c r="D2" s="46" t="s">
        <v>35</v>
      </c>
      <c r="E2" s="47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</row>
    <row r="3" spans="1:17" ht="20.100000000000001" customHeight="1" x14ac:dyDescent="0.15">
      <c r="A3" s="43"/>
      <c r="B3" s="50"/>
      <c r="C3" s="23">
        <v>1</v>
      </c>
      <c r="D3" s="79" t="s">
        <v>107</v>
      </c>
      <c r="E3" s="35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</row>
    <row r="4" spans="1:17" ht="20.100000000000001" customHeight="1" x14ac:dyDescent="0.15">
      <c r="A4" s="43"/>
      <c r="B4" s="50"/>
      <c r="C4" s="23">
        <f>C3+1</f>
        <v>2</v>
      </c>
      <c r="D4" s="79" t="s">
        <v>94</v>
      </c>
      <c r="E4" s="35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1"/>
    </row>
    <row r="5" spans="1:17" ht="20.100000000000001" customHeight="1" x14ac:dyDescent="0.15">
      <c r="A5" s="43"/>
      <c r="B5" s="50"/>
      <c r="C5" s="23">
        <f t="shared" ref="C5" si="0">C4+1</f>
        <v>3</v>
      </c>
      <c r="D5" s="136" t="s">
        <v>260</v>
      </c>
      <c r="E5" s="137"/>
      <c r="F5" s="52" t="s">
        <v>58</v>
      </c>
      <c r="G5" s="52" t="s">
        <v>58</v>
      </c>
      <c r="H5" s="52"/>
      <c r="I5" s="52"/>
      <c r="J5" s="52"/>
      <c r="K5" s="52"/>
      <c r="L5" s="52"/>
      <c r="M5" s="52"/>
      <c r="N5" s="42"/>
      <c r="O5" s="52"/>
      <c r="P5" s="52"/>
      <c r="Q5" s="42"/>
    </row>
    <row r="6" spans="1:17" ht="20.100000000000001" customHeight="1" x14ac:dyDescent="0.15">
      <c r="A6" s="43"/>
      <c r="B6" s="50"/>
      <c r="C6" s="23">
        <f>C3+1</f>
        <v>2</v>
      </c>
      <c r="D6" s="79" t="s">
        <v>113</v>
      </c>
      <c r="E6" s="35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</row>
    <row r="7" spans="1:17" ht="20.100000000000001" customHeight="1" x14ac:dyDescent="0.15">
      <c r="A7" s="43"/>
      <c r="B7" s="50"/>
      <c r="C7" s="23">
        <f t="shared" ref="C7:C9" si="1">C6+1</f>
        <v>3</v>
      </c>
      <c r="D7" s="51" t="s">
        <v>114</v>
      </c>
      <c r="E7" s="8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</row>
    <row r="8" spans="1:17" ht="20.100000000000001" customHeight="1" x14ac:dyDescent="0.15">
      <c r="A8" s="43"/>
      <c r="B8" s="50"/>
      <c r="C8" s="23">
        <f t="shared" si="1"/>
        <v>4</v>
      </c>
      <c r="D8" s="136" t="s">
        <v>77</v>
      </c>
      <c r="E8" s="137"/>
      <c r="F8" s="52" t="s">
        <v>58</v>
      </c>
      <c r="G8" s="52"/>
      <c r="H8" s="52"/>
      <c r="I8" s="52"/>
      <c r="J8" s="42"/>
      <c r="K8" s="52"/>
      <c r="L8" s="52"/>
      <c r="M8" s="42"/>
      <c r="N8" s="42"/>
      <c r="O8" s="52"/>
      <c r="P8" s="52"/>
      <c r="Q8" s="42"/>
    </row>
    <row r="9" spans="1:17" ht="20.100000000000001" customHeight="1" x14ac:dyDescent="0.15">
      <c r="A9" s="43"/>
      <c r="B9" s="50"/>
      <c r="C9" s="23">
        <f t="shared" si="1"/>
        <v>5</v>
      </c>
      <c r="D9" s="136" t="s">
        <v>75</v>
      </c>
      <c r="E9" s="137"/>
      <c r="F9" s="52"/>
      <c r="G9" s="52" t="s">
        <v>58</v>
      </c>
      <c r="H9" s="52"/>
      <c r="I9" s="52"/>
      <c r="J9" s="42"/>
      <c r="K9" s="52"/>
      <c r="L9" s="52"/>
      <c r="M9" s="52"/>
      <c r="N9" s="42"/>
      <c r="O9" s="52"/>
      <c r="P9" s="52"/>
      <c r="Q9" s="42"/>
    </row>
    <row r="10" spans="1:17" ht="20.100000000000001" customHeight="1" x14ac:dyDescent="0.15">
      <c r="A10" s="43"/>
      <c r="B10" s="50"/>
      <c r="C10" s="23">
        <f t="shared" ref="C10:C22" si="2">C9+1</f>
        <v>6</v>
      </c>
      <c r="D10" s="136"/>
      <c r="E10" s="137"/>
      <c r="F10" s="52"/>
      <c r="G10" s="52"/>
      <c r="H10" s="52"/>
      <c r="I10" s="52"/>
      <c r="J10" s="52"/>
      <c r="K10" s="52"/>
      <c r="L10" s="52"/>
      <c r="M10" s="52"/>
      <c r="N10" s="42"/>
      <c r="O10" s="52"/>
      <c r="P10" s="52"/>
      <c r="Q10" s="42"/>
    </row>
    <row r="11" spans="1:17" ht="20.100000000000001" customHeight="1" x14ac:dyDescent="0.15">
      <c r="A11" s="43"/>
      <c r="B11" s="50"/>
      <c r="C11" s="23">
        <f t="shared" si="2"/>
        <v>7</v>
      </c>
      <c r="D11" s="136"/>
      <c r="E11" s="137"/>
      <c r="F11" s="52"/>
      <c r="G11" s="52"/>
      <c r="H11" s="52"/>
      <c r="I11" s="52"/>
      <c r="J11" s="52"/>
      <c r="K11" s="52"/>
      <c r="L11" s="52"/>
      <c r="M11" s="52"/>
      <c r="N11" s="42"/>
      <c r="O11" s="52"/>
      <c r="P11" s="52"/>
      <c r="Q11" s="42"/>
    </row>
    <row r="12" spans="1:17" ht="20.100000000000001" customHeight="1" x14ac:dyDescent="0.15">
      <c r="A12" s="43"/>
      <c r="B12" s="50"/>
      <c r="C12" s="23">
        <f t="shared" si="2"/>
        <v>8</v>
      </c>
      <c r="D12" s="136"/>
      <c r="E12" s="137"/>
      <c r="F12" s="52"/>
      <c r="G12" s="52"/>
      <c r="H12" s="52"/>
      <c r="I12" s="52"/>
      <c r="J12" s="52"/>
      <c r="K12" s="52"/>
      <c r="L12" s="52"/>
      <c r="M12" s="52"/>
      <c r="N12" s="42"/>
      <c r="O12" s="52"/>
      <c r="P12" s="52"/>
      <c r="Q12" s="42"/>
    </row>
    <row r="13" spans="1:17" ht="20.100000000000001" customHeight="1" x14ac:dyDescent="0.15">
      <c r="A13" s="43"/>
      <c r="B13" s="50"/>
      <c r="C13" s="23">
        <f t="shared" si="2"/>
        <v>9</v>
      </c>
      <c r="D13" s="136"/>
      <c r="E13" s="137"/>
      <c r="F13" s="52"/>
      <c r="G13" s="52"/>
      <c r="H13" s="52"/>
      <c r="I13" s="52"/>
      <c r="J13" s="52"/>
      <c r="K13" s="52"/>
      <c r="L13" s="52"/>
      <c r="M13" s="52"/>
      <c r="N13" s="42"/>
      <c r="O13" s="52"/>
      <c r="P13" s="52"/>
      <c r="Q13" s="42"/>
    </row>
    <row r="14" spans="1:17" ht="20.100000000000001" customHeight="1" x14ac:dyDescent="0.15">
      <c r="A14" s="43"/>
      <c r="B14" s="50"/>
      <c r="C14" s="23">
        <f t="shared" si="2"/>
        <v>10</v>
      </c>
      <c r="D14" s="136"/>
      <c r="E14" s="137"/>
      <c r="F14" s="52"/>
      <c r="G14" s="52"/>
      <c r="H14" s="52"/>
      <c r="I14" s="52"/>
      <c r="J14" s="52"/>
      <c r="K14" s="52"/>
      <c r="L14" s="52"/>
      <c r="M14" s="52"/>
      <c r="N14" s="42"/>
      <c r="O14" s="52"/>
      <c r="P14" s="52"/>
      <c r="Q14" s="42"/>
    </row>
    <row r="15" spans="1:17" ht="20.100000000000001" customHeight="1" x14ac:dyDescent="0.15">
      <c r="A15" s="43"/>
      <c r="B15" s="50"/>
      <c r="C15" s="23">
        <f t="shared" si="2"/>
        <v>11</v>
      </c>
      <c r="D15" s="136"/>
      <c r="E15" s="137"/>
      <c r="F15" s="52"/>
      <c r="G15" s="52"/>
      <c r="H15" s="52"/>
      <c r="I15" s="52"/>
      <c r="J15" s="52"/>
      <c r="K15" s="52"/>
      <c r="L15" s="52"/>
      <c r="M15" s="52"/>
      <c r="N15" s="42"/>
      <c r="O15" s="52"/>
      <c r="P15" s="52"/>
      <c r="Q15" s="42"/>
    </row>
    <row r="16" spans="1:17" ht="20.100000000000001" customHeight="1" x14ac:dyDescent="0.15">
      <c r="A16" s="43"/>
      <c r="B16" s="50"/>
      <c r="C16" s="23">
        <f t="shared" si="2"/>
        <v>12</v>
      </c>
      <c r="D16" s="136"/>
      <c r="E16" s="137"/>
      <c r="F16" s="52"/>
      <c r="G16" s="52"/>
      <c r="H16" s="52"/>
      <c r="I16" s="52"/>
      <c r="J16" s="52"/>
      <c r="K16" s="52"/>
      <c r="L16" s="52"/>
      <c r="M16" s="52"/>
      <c r="N16" s="42"/>
      <c r="O16" s="52"/>
      <c r="P16" s="52"/>
      <c r="Q16" s="42"/>
    </row>
    <row r="17" spans="1:17" ht="20.100000000000001" customHeight="1" x14ac:dyDescent="0.15">
      <c r="A17" s="43"/>
      <c r="B17" s="50"/>
      <c r="C17" s="23">
        <f t="shared" si="2"/>
        <v>13</v>
      </c>
      <c r="D17" s="136"/>
      <c r="E17" s="137"/>
      <c r="F17" s="52"/>
      <c r="G17" s="52"/>
      <c r="H17" s="52"/>
      <c r="I17" s="52"/>
      <c r="J17" s="52"/>
      <c r="K17" s="52"/>
      <c r="L17" s="52"/>
      <c r="M17" s="52"/>
      <c r="N17" s="42"/>
      <c r="O17" s="52"/>
      <c r="P17" s="52"/>
      <c r="Q17" s="42"/>
    </row>
    <row r="18" spans="1:17" ht="20.100000000000001" customHeight="1" x14ac:dyDescent="0.15">
      <c r="A18" s="43"/>
      <c r="B18" s="50"/>
      <c r="C18" s="23">
        <f t="shared" si="2"/>
        <v>14</v>
      </c>
      <c r="D18" s="136"/>
      <c r="E18" s="137"/>
      <c r="F18" s="52"/>
      <c r="G18" s="52"/>
      <c r="H18" s="52"/>
      <c r="I18" s="52"/>
      <c r="J18" s="52"/>
      <c r="K18" s="52"/>
      <c r="L18" s="52"/>
      <c r="M18" s="52"/>
      <c r="N18" s="42"/>
      <c r="O18" s="52"/>
      <c r="P18" s="52"/>
      <c r="Q18" s="42"/>
    </row>
    <row r="19" spans="1:17" ht="20.100000000000001" customHeight="1" x14ac:dyDescent="0.15">
      <c r="A19" s="43"/>
      <c r="B19" s="50"/>
      <c r="C19" s="23">
        <f t="shared" si="2"/>
        <v>15</v>
      </c>
      <c r="D19" s="136"/>
      <c r="E19" s="137"/>
      <c r="F19" s="52"/>
      <c r="G19" s="52"/>
      <c r="H19" s="52"/>
      <c r="I19" s="52"/>
      <c r="J19" s="52"/>
      <c r="K19" s="52"/>
      <c r="L19" s="52"/>
      <c r="M19" s="52"/>
      <c r="N19" s="42"/>
      <c r="O19" s="52"/>
      <c r="P19" s="52"/>
      <c r="Q19" s="42"/>
    </row>
    <row r="20" spans="1:17" ht="20.100000000000001" customHeight="1" x14ac:dyDescent="0.15">
      <c r="A20" s="43"/>
      <c r="B20" s="50"/>
      <c r="C20" s="23">
        <f t="shared" si="2"/>
        <v>16</v>
      </c>
      <c r="D20" s="136"/>
      <c r="E20" s="137"/>
      <c r="F20" s="52"/>
      <c r="G20" s="52"/>
      <c r="H20" s="52"/>
      <c r="I20" s="52"/>
      <c r="J20" s="52"/>
      <c r="K20" s="52"/>
      <c r="L20" s="52"/>
      <c r="M20" s="52"/>
      <c r="N20" s="42"/>
      <c r="O20" s="52"/>
      <c r="P20" s="52"/>
      <c r="Q20" s="42"/>
    </row>
    <row r="21" spans="1:17" ht="20.100000000000001" customHeight="1" x14ac:dyDescent="0.15">
      <c r="A21" s="43"/>
      <c r="B21" s="50"/>
      <c r="C21" s="23">
        <f t="shared" si="2"/>
        <v>17</v>
      </c>
      <c r="D21" s="136"/>
      <c r="E21" s="137"/>
      <c r="F21" s="52"/>
      <c r="G21" s="42"/>
      <c r="H21" s="52"/>
      <c r="I21" s="52"/>
      <c r="J21" s="42"/>
      <c r="K21" s="52"/>
      <c r="L21" s="52"/>
      <c r="M21" s="42"/>
      <c r="N21" s="42"/>
      <c r="O21" s="52"/>
      <c r="P21" s="52"/>
      <c r="Q21" s="42"/>
    </row>
    <row r="22" spans="1:17" ht="20.100000000000001" customHeight="1" x14ac:dyDescent="0.15">
      <c r="A22" s="43"/>
      <c r="B22" s="50"/>
      <c r="C22" s="23">
        <f t="shared" si="2"/>
        <v>18</v>
      </c>
      <c r="D22" s="136"/>
      <c r="E22" s="137"/>
      <c r="F22" s="42"/>
      <c r="G22" s="42"/>
      <c r="H22" s="52"/>
      <c r="I22" s="52"/>
      <c r="J22" s="42"/>
      <c r="K22" s="52"/>
      <c r="L22" s="52"/>
      <c r="M22" s="42"/>
      <c r="N22" s="42"/>
      <c r="O22" s="52"/>
      <c r="P22" s="52"/>
      <c r="Q22" s="42"/>
    </row>
    <row r="23" spans="1:17" ht="20.100000000000001" customHeight="1" x14ac:dyDescent="0.15">
      <c r="A23" s="43"/>
      <c r="B23" s="50"/>
      <c r="C23" s="23">
        <f>C22+1</f>
        <v>19</v>
      </c>
      <c r="D23" s="136"/>
      <c r="E23" s="137"/>
      <c r="F23" s="42"/>
      <c r="G23" s="42"/>
      <c r="H23" s="52"/>
      <c r="I23" s="52"/>
      <c r="J23" s="42"/>
      <c r="K23" s="52"/>
      <c r="L23" s="52"/>
      <c r="M23" s="42"/>
      <c r="N23" s="42"/>
      <c r="O23" s="52"/>
      <c r="P23" s="52"/>
      <c r="Q23" s="42"/>
    </row>
    <row r="24" spans="1:17" ht="20.100000000000001" customHeight="1" x14ac:dyDescent="0.15">
      <c r="A24" s="43"/>
      <c r="B24" s="53"/>
      <c r="C24" s="54"/>
      <c r="D24" s="55"/>
      <c r="E24" s="56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</row>
    <row r="25" spans="1:17" ht="19.899999999999999" customHeight="1" x14ac:dyDescent="0.15">
      <c r="A25" s="43"/>
      <c r="B25" s="44"/>
      <c r="C25" s="45" t="s">
        <v>34</v>
      </c>
      <c r="D25" s="46" t="s">
        <v>36</v>
      </c>
      <c r="E25" s="47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</row>
    <row r="26" spans="1:17" ht="20.100000000000001" customHeight="1" x14ac:dyDescent="0.15">
      <c r="A26" s="2"/>
      <c r="B26" s="26"/>
      <c r="C26" s="23">
        <v>1</v>
      </c>
      <c r="D26" s="37" t="s">
        <v>43</v>
      </c>
      <c r="E26" s="35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</row>
    <row r="27" spans="1:17" ht="20.100000000000001" customHeight="1" x14ac:dyDescent="0.15">
      <c r="A27" s="43"/>
      <c r="B27" s="50"/>
      <c r="C27" s="23">
        <f>C26+1</f>
        <v>2</v>
      </c>
      <c r="D27" s="136" t="s">
        <v>100</v>
      </c>
      <c r="E27" s="137"/>
      <c r="F27" s="80"/>
      <c r="G27" s="80" t="s">
        <v>56</v>
      </c>
      <c r="H27" s="80"/>
      <c r="I27" s="80"/>
      <c r="J27" s="80"/>
      <c r="K27" s="80"/>
      <c r="L27" s="80"/>
      <c r="M27" s="80"/>
      <c r="N27" s="80"/>
      <c r="O27" s="80"/>
      <c r="P27" s="80"/>
      <c r="Q27" s="80"/>
    </row>
    <row r="28" spans="1:17" ht="20.100000000000001" customHeight="1" x14ac:dyDescent="0.15">
      <c r="A28" s="43"/>
      <c r="B28" s="50"/>
      <c r="C28" s="23">
        <f t="shared" ref="C28:C41" si="3">C27+1</f>
        <v>3</v>
      </c>
      <c r="D28" s="136" t="s">
        <v>108</v>
      </c>
      <c r="E28" s="137"/>
      <c r="F28" s="80"/>
      <c r="G28" s="80" t="s">
        <v>56</v>
      </c>
      <c r="H28" s="80"/>
      <c r="I28" s="80"/>
      <c r="J28" s="80"/>
      <c r="K28" s="80"/>
      <c r="L28" s="80"/>
      <c r="M28" s="80"/>
      <c r="N28" s="80"/>
      <c r="O28" s="80"/>
      <c r="P28" s="80"/>
      <c r="Q28" s="80"/>
    </row>
    <row r="29" spans="1:17" ht="20.100000000000001" customHeight="1" x14ac:dyDescent="0.15">
      <c r="A29" s="43"/>
      <c r="B29" s="50"/>
      <c r="C29" s="23">
        <f t="shared" si="3"/>
        <v>4</v>
      </c>
      <c r="D29" s="136" t="s">
        <v>110</v>
      </c>
      <c r="E29" s="137"/>
      <c r="F29" s="80"/>
      <c r="G29" s="80" t="s">
        <v>56</v>
      </c>
      <c r="H29" s="80"/>
      <c r="I29" s="80"/>
      <c r="J29" s="80"/>
      <c r="K29" s="80"/>
      <c r="L29" s="80"/>
      <c r="M29" s="80"/>
      <c r="N29" s="80"/>
      <c r="O29" s="80"/>
      <c r="P29" s="80"/>
      <c r="Q29" s="80"/>
    </row>
    <row r="30" spans="1:17" ht="20.100000000000001" customHeight="1" x14ac:dyDescent="0.15">
      <c r="A30" s="43"/>
      <c r="B30" s="50"/>
      <c r="C30" s="23">
        <f t="shared" si="3"/>
        <v>5</v>
      </c>
      <c r="D30" s="136"/>
      <c r="E30" s="137"/>
      <c r="F30" s="52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</row>
    <row r="31" spans="1:17" ht="20.100000000000001" customHeight="1" x14ac:dyDescent="0.15">
      <c r="A31" s="43"/>
      <c r="B31" s="50"/>
      <c r="C31" s="23">
        <f t="shared" si="3"/>
        <v>6</v>
      </c>
      <c r="D31" s="136"/>
      <c r="E31" s="137"/>
      <c r="F31" s="52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</row>
    <row r="32" spans="1:17" ht="19.5" customHeight="1" x14ac:dyDescent="0.15">
      <c r="A32" s="43"/>
      <c r="B32" s="50"/>
      <c r="C32" s="23">
        <f t="shared" si="3"/>
        <v>7</v>
      </c>
      <c r="D32" s="79" t="s">
        <v>66</v>
      </c>
      <c r="E32" s="35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</row>
    <row r="33" spans="1:17" ht="19.5" customHeight="1" x14ac:dyDescent="0.15">
      <c r="A33" s="43"/>
      <c r="B33" s="50"/>
      <c r="C33" s="23">
        <f t="shared" si="3"/>
        <v>8</v>
      </c>
      <c r="D33" s="136" t="s">
        <v>93</v>
      </c>
      <c r="E33" s="137"/>
      <c r="F33" s="80" t="s">
        <v>56</v>
      </c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</row>
    <row r="34" spans="1:17" ht="19.5" customHeight="1" x14ac:dyDescent="0.15">
      <c r="A34" s="43"/>
      <c r="B34" s="50"/>
      <c r="C34" s="23">
        <f t="shared" si="3"/>
        <v>9</v>
      </c>
      <c r="D34" s="136" t="s">
        <v>69</v>
      </c>
      <c r="E34" s="137"/>
      <c r="F34" s="80"/>
      <c r="G34" s="80" t="s">
        <v>56</v>
      </c>
      <c r="H34" s="80"/>
      <c r="I34" s="80"/>
      <c r="J34" s="80"/>
      <c r="K34" s="80"/>
      <c r="L34" s="80"/>
      <c r="M34" s="80"/>
      <c r="N34" s="80"/>
      <c r="O34" s="80"/>
      <c r="P34" s="80"/>
      <c r="Q34" s="80"/>
    </row>
    <row r="35" spans="1:17" ht="19.5" customHeight="1" x14ac:dyDescent="0.15">
      <c r="A35" s="43"/>
      <c r="B35" s="50"/>
      <c r="C35" s="23">
        <f t="shared" si="3"/>
        <v>10</v>
      </c>
      <c r="D35" s="136"/>
      <c r="E35" s="137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</row>
    <row r="36" spans="1:17" ht="19.5" customHeight="1" x14ac:dyDescent="0.15">
      <c r="A36" s="43"/>
      <c r="B36" s="50"/>
      <c r="C36" s="23">
        <f t="shared" si="3"/>
        <v>11</v>
      </c>
      <c r="D36" s="136"/>
      <c r="E36" s="137"/>
      <c r="F36" s="52"/>
      <c r="G36" s="42"/>
      <c r="H36" s="42"/>
      <c r="I36" s="52"/>
      <c r="J36" s="52"/>
      <c r="K36" s="42"/>
      <c r="L36" s="52"/>
      <c r="M36" s="52"/>
      <c r="N36" s="52"/>
      <c r="O36" s="42"/>
      <c r="P36" s="52"/>
      <c r="Q36" s="52"/>
    </row>
    <row r="37" spans="1:17" ht="19.5" customHeight="1" x14ac:dyDescent="0.15">
      <c r="A37" s="43"/>
      <c r="B37" s="50"/>
      <c r="C37" s="23">
        <f t="shared" si="3"/>
        <v>12</v>
      </c>
      <c r="D37" s="79" t="s">
        <v>88</v>
      </c>
      <c r="E37" s="35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</row>
    <row r="38" spans="1:17" ht="19.5" customHeight="1" x14ac:dyDescent="0.15">
      <c r="A38" s="43"/>
      <c r="B38" s="50"/>
      <c r="C38" s="23">
        <f t="shared" si="3"/>
        <v>13</v>
      </c>
      <c r="D38" s="136" t="s">
        <v>116</v>
      </c>
      <c r="E38" s="137"/>
      <c r="F38" s="80" t="s">
        <v>56</v>
      </c>
      <c r="G38" s="52"/>
      <c r="H38" s="52"/>
      <c r="I38" s="52"/>
      <c r="J38" s="42"/>
      <c r="K38" s="52"/>
      <c r="L38" s="52"/>
      <c r="M38" s="42"/>
      <c r="N38" s="42"/>
      <c r="O38" s="52"/>
      <c r="P38" s="52"/>
      <c r="Q38" s="42"/>
    </row>
    <row r="39" spans="1:17" ht="20.100000000000001" customHeight="1" x14ac:dyDescent="0.15">
      <c r="A39" s="43"/>
      <c r="B39" s="50"/>
      <c r="C39" s="23">
        <f t="shared" si="3"/>
        <v>14</v>
      </c>
      <c r="D39" s="136"/>
      <c r="E39" s="137"/>
      <c r="F39" s="52"/>
      <c r="G39" s="80"/>
      <c r="H39" s="52"/>
      <c r="I39" s="52"/>
      <c r="J39" s="42"/>
      <c r="K39" s="52"/>
      <c r="L39" s="52"/>
      <c r="M39" s="42"/>
      <c r="N39" s="42"/>
      <c r="O39" s="52"/>
      <c r="P39" s="52"/>
      <c r="Q39" s="42"/>
    </row>
    <row r="40" spans="1:17" ht="20.100000000000001" customHeight="1" x14ac:dyDescent="0.15">
      <c r="A40" s="43"/>
      <c r="B40" s="50"/>
      <c r="C40" s="23">
        <f t="shared" si="3"/>
        <v>15</v>
      </c>
      <c r="D40" s="136"/>
      <c r="E40" s="137"/>
      <c r="F40" s="52"/>
      <c r="G40" s="52"/>
      <c r="H40" s="80"/>
      <c r="I40" s="80"/>
      <c r="J40" s="80"/>
      <c r="K40" s="52"/>
      <c r="L40" s="52"/>
      <c r="M40" s="42"/>
      <c r="N40" s="42"/>
      <c r="O40" s="52"/>
      <c r="P40" s="52"/>
      <c r="Q40" s="42"/>
    </row>
    <row r="41" spans="1:17" ht="19.5" customHeight="1" x14ac:dyDescent="0.15">
      <c r="A41" s="43"/>
      <c r="B41" s="50"/>
      <c r="C41" s="23">
        <f t="shared" si="3"/>
        <v>16</v>
      </c>
      <c r="D41" s="136"/>
      <c r="E41" s="137"/>
      <c r="F41" s="58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</row>
    <row r="42" spans="1:17" ht="20.100000000000001" customHeight="1" x14ac:dyDescent="0.15">
      <c r="A42" s="43"/>
      <c r="B42" s="53"/>
      <c r="C42" s="54"/>
      <c r="D42" s="59"/>
      <c r="E42" s="60"/>
      <c r="F42" s="61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</row>
    <row r="43" spans="1:17" ht="20.100000000000001" customHeight="1" x14ac:dyDescent="0.15">
      <c r="A43" s="43"/>
      <c r="B43" s="44"/>
      <c r="C43" s="62" t="s">
        <v>34</v>
      </c>
      <c r="D43" s="45" t="s">
        <v>37</v>
      </c>
      <c r="E43" s="63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</row>
    <row r="44" spans="1:17" ht="20.100000000000001" customHeight="1" x14ac:dyDescent="0.15">
      <c r="A44" s="43"/>
      <c r="B44" s="64" t="s">
        <v>38</v>
      </c>
      <c r="C44" s="65">
        <v>1</v>
      </c>
      <c r="D44" s="38"/>
      <c r="E44" s="66" t="s">
        <v>39</v>
      </c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</row>
    <row r="45" spans="1:17" ht="20.100000000000001" customHeight="1" x14ac:dyDescent="0.15">
      <c r="A45" s="43"/>
      <c r="B45" s="64"/>
      <c r="C45" s="65"/>
      <c r="D45" s="67"/>
      <c r="E45" s="68" t="s">
        <v>40</v>
      </c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</row>
    <row r="46" spans="1:17" ht="20.100000000000001" customHeight="1" x14ac:dyDescent="0.15">
      <c r="A46" s="43"/>
      <c r="B46" s="64"/>
      <c r="C46" s="69">
        <v>2</v>
      </c>
      <c r="D46" s="70"/>
      <c r="E46" s="66" t="s">
        <v>39</v>
      </c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</row>
    <row r="47" spans="1:17" ht="20.100000000000001" customHeight="1" x14ac:dyDescent="0.15">
      <c r="A47" s="43"/>
      <c r="B47" s="64"/>
      <c r="C47" s="71"/>
      <c r="D47" s="72"/>
      <c r="E47" s="68" t="s">
        <v>40</v>
      </c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</row>
    <row r="48" spans="1:17" ht="20.100000000000001" customHeight="1" x14ac:dyDescent="0.15">
      <c r="A48" s="43"/>
      <c r="B48" s="64"/>
      <c r="C48" s="69">
        <v>3</v>
      </c>
      <c r="D48" s="70"/>
      <c r="E48" s="66" t="s">
        <v>39</v>
      </c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</row>
    <row r="49" spans="1:17" ht="20.100000000000001" customHeight="1" x14ac:dyDescent="0.15">
      <c r="A49" s="43"/>
      <c r="B49" s="64"/>
      <c r="C49" s="71"/>
      <c r="D49" s="72"/>
      <c r="E49" s="68" t="s">
        <v>40</v>
      </c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</row>
    <row r="50" spans="1:17" ht="20.100000000000001" customHeight="1" x14ac:dyDescent="0.15">
      <c r="A50" s="43"/>
      <c r="B50" s="64"/>
      <c r="C50" s="69">
        <v>4</v>
      </c>
      <c r="D50" s="70"/>
      <c r="E50" s="66" t="s">
        <v>39</v>
      </c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</row>
    <row r="51" spans="1:17" ht="9.9499999999999993" customHeight="1" x14ac:dyDescent="0.15">
      <c r="A51" s="43"/>
      <c r="B51" s="64"/>
      <c r="C51" s="71"/>
      <c r="D51" s="72"/>
      <c r="E51" s="68" t="s">
        <v>40</v>
      </c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</row>
    <row r="52" spans="1:17" ht="20.100000000000001" customHeight="1" x14ac:dyDescent="0.15">
      <c r="A52" s="43"/>
      <c r="B52" s="64"/>
      <c r="C52" s="69">
        <v>5</v>
      </c>
      <c r="D52" s="70"/>
      <c r="E52" s="66" t="s">
        <v>39</v>
      </c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</row>
    <row r="53" spans="1:17" ht="20.100000000000001" customHeight="1" x14ac:dyDescent="0.15">
      <c r="A53" s="43"/>
      <c r="B53" s="64"/>
      <c r="C53" s="71"/>
      <c r="D53" s="72"/>
      <c r="E53" s="68" t="s">
        <v>40</v>
      </c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</row>
    <row r="54" spans="1:17" ht="30" customHeight="1" x14ac:dyDescent="0.15">
      <c r="A54" s="43"/>
      <c r="B54" s="64"/>
      <c r="C54" s="69">
        <v>6</v>
      </c>
      <c r="D54" s="70"/>
      <c r="E54" s="66" t="s">
        <v>39</v>
      </c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</row>
    <row r="55" spans="1:17" ht="30" customHeight="1" x14ac:dyDescent="0.15">
      <c r="A55" s="43"/>
      <c r="B55" s="64"/>
      <c r="C55" s="71"/>
      <c r="D55" s="72"/>
      <c r="E55" s="68" t="s">
        <v>40</v>
      </c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</row>
    <row r="56" spans="1:17" ht="30" customHeight="1" x14ac:dyDescent="0.15">
      <c r="A56" s="43"/>
      <c r="B56" s="64"/>
      <c r="C56" s="69">
        <v>7</v>
      </c>
      <c r="D56" s="70"/>
      <c r="E56" s="66" t="s">
        <v>39</v>
      </c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</row>
    <row r="57" spans="1:17" ht="30" customHeight="1" x14ac:dyDescent="0.15">
      <c r="A57" s="43"/>
      <c r="B57" s="64"/>
      <c r="C57" s="71"/>
      <c r="D57" s="72"/>
      <c r="E57" s="68" t="s">
        <v>40</v>
      </c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</row>
    <row r="58" spans="1:17" ht="30" customHeight="1" x14ac:dyDescent="0.15">
      <c r="A58" s="43"/>
      <c r="B58" s="64"/>
      <c r="C58" s="69">
        <v>8</v>
      </c>
      <c r="D58" s="70"/>
      <c r="E58" s="66" t="s">
        <v>39</v>
      </c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</row>
    <row r="59" spans="1:17" ht="30" customHeight="1" x14ac:dyDescent="0.15">
      <c r="A59" s="43"/>
      <c r="B59" s="64"/>
      <c r="C59" s="71"/>
      <c r="D59" s="72"/>
      <c r="E59" s="68" t="s">
        <v>40</v>
      </c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</row>
    <row r="60" spans="1:17" ht="30" customHeight="1" x14ac:dyDescent="0.15">
      <c r="A60" s="43"/>
      <c r="B60" s="53"/>
      <c r="C60" s="54"/>
      <c r="D60" s="59"/>
      <c r="E60" s="59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</row>
    <row r="61" spans="1:17" ht="30" customHeight="1" x14ac:dyDescent="0.15">
      <c r="A61" s="78"/>
      <c r="B61" s="73" t="s">
        <v>41</v>
      </c>
      <c r="C61" s="59"/>
      <c r="D61" s="59" t="s">
        <v>42</v>
      </c>
      <c r="E61" s="49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</row>
    <row r="62" spans="1:17" ht="30" customHeight="1" x14ac:dyDescent="0.15">
      <c r="A62" s="135"/>
      <c r="B62" s="135"/>
      <c r="C62" s="74"/>
      <c r="D62" s="14"/>
      <c r="E62" s="75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</row>
  </sheetData>
  <mergeCells count="31">
    <mergeCell ref="D12:E12"/>
    <mergeCell ref="D5:E5"/>
    <mergeCell ref="D8:E8"/>
    <mergeCell ref="D10:E10"/>
    <mergeCell ref="D11:E11"/>
    <mergeCell ref="D27:E27"/>
    <mergeCell ref="D28:E28"/>
    <mergeCell ref="D29:E29"/>
    <mergeCell ref="D30:E30"/>
    <mergeCell ref="D13:E13"/>
    <mergeCell ref="D16:E16"/>
    <mergeCell ref="D17:E17"/>
    <mergeCell ref="D18:E18"/>
    <mergeCell ref="D20:E20"/>
    <mergeCell ref="D21:E21"/>
    <mergeCell ref="D39:E39"/>
    <mergeCell ref="D40:E40"/>
    <mergeCell ref="D41:E41"/>
    <mergeCell ref="A62:B62"/>
    <mergeCell ref="D9:E9"/>
    <mergeCell ref="D14:E14"/>
    <mergeCell ref="D15:E15"/>
    <mergeCell ref="D19:E19"/>
    <mergeCell ref="D31:E31"/>
    <mergeCell ref="D33:E33"/>
    <mergeCell ref="D34:E34"/>
    <mergeCell ref="D35:E35"/>
    <mergeCell ref="D36:E36"/>
    <mergeCell ref="D38:E38"/>
    <mergeCell ref="D22:E22"/>
    <mergeCell ref="D23:E23"/>
  </mergeCells>
  <phoneticPr fontId="5"/>
  <printOptions horizontalCentered="1"/>
  <pageMargins left="0.27559055118110237" right="0.27559055118110237" top="0.59055118110236227" bottom="0.39370078740157483" header="0.39370078740157483" footer="0.19685039370078741"/>
  <pageSetup paperSize="9" scale="63" fitToHeight="0" orientation="landscape" r:id="rId1"/>
  <headerFooter alignWithMargins="0">
    <oddHeader>&amp;L&amp;"ＭＳ ゴシック,太字"&amp;18&amp;A</oddHeader>
    <oddFooter>&amp;L&amp;"ＭＳ Ｐゴシック,標準"&amp;9（ES0402-F01_単体テスト仕様書兼結果報告書 20161003 Ver.1.2）&amp;C&amp;"ＭＳ Ｐゴシック,標準"&amp;9&amp;P / &amp;N&amp;R&amp;"ＭＳ Ｐゴシック,標準"&amp;9Copyright© 2013 SCSK Corporation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23200-E5A6-4F6F-B51D-36F3C9677887}">
  <dimension ref="C2:S35"/>
  <sheetViews>
    <sheetView workbookViewId="0"/>
  </sheetViews>
  <sheetFormatPr defaultRowHeight="13.5" x14ac:dyDescent="0.15"/>
  <cols>
    <col min="1" max="2" width="17.875" style="141" bestFit="1" customWidth="1"/>
    <col min="3" max="3" width="15.125" style="141" customWidth="1"/>
    <col min="4" max="4" width="24" style="141" customWidth="1"/>
    <col min="5" max="5" width="20.5" style="141" bestFit="1" customWidth="1"/>
    <col min="6" max="6" width="18.375" style="141" bestFit="1" customWidth="1"/>
    <col min="7" max="7" width="22.75" style="141" bestFit="1" customWidth="1"/>
    <col min="8" max="8" width="27.25" style="141" bestFit="1" customWidth="1"/>
    <col min="9" max="9" width="23.875" style="141" bestFit="1" customWidth="1"/>
    <col min="10" max="10" width="9" style="141"/>
    <col min="11" max="11" width="11.625" style="141" bestFit="1" customWidth="1"/>
    <col min="12" max="13" width="9" style="141"/>
    <col min="14" max="14" width="23.875" style="141" bestFit="1" customWidth="1"/>
    <col min="15" max="15" width="13.875" style="141" bestFit="1" customWidth="1"/>
    <col min="16" max="16" width="9" style="141"/>
    <col min="17" max="18" width="13.875" style="141" bestFit="1" customWidth="1"/>
    <col min="19" max="16384" width="9" style="141"/>
  </cols>
  <sheetData>
    <row r="2" spans="3:19" x14ac:dyDescent="0.15">
      <c r="C2" s="140" t="s">
        <v>152</v>
      </c>
    </row>
    <row r="3" spans="3:19" x14ac:dyDescent="0.15">
      <c r="C3" s="140" t="s">
        <v>126</v>
      </c>
    </row>
    <row r="4" spans="3:19" x14ac:dyDescent="0.15">
      <c r="C4" s="141" t="s">
        <v>158</v>
      </c>
      <c r="D4" s="141" t="s">
        <v>159</v>
      </c>
    </row>
    <row r="5" spans="3:19" ht="42.75" x14ac:dyDescent="0.15">
      <c r="C5" s="144" t="s">
        <v>160</v>
      </c>
      <c r="D5" s="144" t="s">
        <v>161</v>
      </c>
      <c r="E5" s="144" t="s">
        <v>162</v>
      </c>
      <c r="F5" s="144" t="s">
        <v>163</v>
      </c>
      <c r="G5" s="144" t="s">
        <v>164</v>
      </c>
      <c r="H5" s="144" t="s">
        <v>165</v>
      </c>
      <c r="I5" s="144" t="s">
        <v>166</v>
      </c>
      <c r="J5" s="144" t="s">
        <v>167</v>
      </c>
      <c r="K5" s="144" t="s">
        <v>168</v>
      </c>
      <c r="L5" s="144" t="s">
        <v>169</v>
      </c>
      <c r="M5" s="144" t="s">
        <v>170</v>
      </c>
      <c r="N5" s="144" t="s">
        <v>171</v>
      </c>
      <c r="O5" s="144" t="s">
        <v>172</v>
      </c>
      <c r="P5" s="144" t="s">
        <v>173</v>
      </c>
      <c r="Q5" s="144" t="s">
        <v>174</v>
      </c>
      <c r="R5" s="144" t="s">
        <v>175</v>
      </c>
      <c r="S5" s="144" t="s">
        <v>176</v>
      </c>
    </row>
    <row r="6" spans="3:19" ht="14.25" x14ac:dyDescent="0.15">
      <c r="C6" s="144" t="s">
        <v>143</v>
      </c>
      <c r="D6" s="144" t="s">
        <v>177</v>
      </c>
      <c r="E6" s="144" t="s">
        <v>177</v>
      </c>
      <c r="F6" s="144" t="s">
        <v>178</v>
      </c>
      <c r="G6" s="144" t="s">
        <v>178</v>
      </c>
      <c r="H6" s="144" t="s">
        <v>177</v>
      </c>
      <c r="I6" s="144" t="s">
        <v>178</v>
      </c>
      <c r="J6" s="144" t="s">
        <v>177</v>
      </c>
      <c r="K6" s="144" t="s">
        <v>177</v>
      </c>
      <c r="L6" s="144" t="s">
        <v>143</v>
      </c>
      <c r="M6" s="144" t="s">
        <v>143</v>
      </c>
      <c r="N6" s="144" t="s">
        <v>177</v>
      </c>
      <c r="O6" s="144" t="s">
        <v>177</v>
      </c>
      <c r="P6" s="144" t="s">
        <v>143</v>
      </c>
      <c r="Q6" s="144" t="s">
        <v>177</v>
      </c>
      <c r="R6" s="144" t="s">
        <v>177</v>
      </c>
      <c r="S6" s="144" t="s">
        <v>143</v>
      </c>
    </row>
    <row r="7" spans="3:19" ht="42.75" x14ac:dyDescent="0.15">
      <c r="C7" s="144" t="s">
        <v>179</v>
      </c>
      <c r="D7" s="144" t="s">
        <v>180</v>
      </c>
      <c r="E7" s="144" t="s">
        <v>181</v>
      </c>
      <c r="F7" s="144" t="s">
        <v>182</v>
      </c>
      <c r="G7" s="144" t="s">
        <v>183</v>
      </c>
      <c r="H7" s="144" t="s">
        <v>184</v>
      </c>
      <c r="I7" s="144" t="s">
        <v>185</v>
      </c>
      <c r="J7" s="144" t="s">
        <v>186</v>
      </c>
      <c r="K7" s="144" t="s">
        <v>187</v>
      </c>
      <c r="L7" s="144" t="s">
        <v>188</v>
      </c>
      <c r="M7" s="144" t="s">
        <v>189</v>
      </c>
      <c r="N7" s="144" t="s">
        <v>190</v>
      </c>
      <c r="O7" s="144" t="s">
        <v>191</v>
      </c>
      <c r="P7" s="144" t="s">
        <v>192</v>
      </c>
      <c r="Q7" s="144" t="s">
        <v>193</v>
      </c>
      <c r="R7" s="144" t="s">
        <v>194</v>
      </c>
      <c r="S7" s="144" t="s">
        <v>195</v>
      </c>
    </row>
    <row r="8" spans="3:19" x14ac:dyDescent="0.15">
      <c r="C8" s="145" t="s">
        <v>204</v>
      </c>
      <c r="D8" s="145" t="s">
        <v>225</v>
      </c>
      <c r="E8" s="145" t="s">
        <v>236</v>
      </c>
      <c r="F8" s="145" t="s">
        <v>214</v>
      </c>
      <c r="G8" s="145" t="s">
        <v>210</v>
      </c>
      <c r="H8" s="145" t="s">
        <v>211</v>
      </c>
      <c r="I8" s="145" t="s">
        <v>212</v>
      </c>
      <c r="J8" s="145" t="s">
        <v>208</v>
      </c>
      <c r="K8" s="145" t="s">
        <v>224</v>
      </c>
      <c r="L8" s="145" t="s">
        <v>204</v>
      </c>
      <c r="M8" s="145" t="s">
        <v>225</v>
      </c>
      <c r="N8" s="147" t="s">
        <v>228</v>
      </c>
      <c r="O8" s="145" t="s">
        <v>229</v>
      </c>
      <c r="P8" s="145" t="s">
        <v>225</v>
      </c>
      <c r="Q8" s="147" t="s">
        <v>227</v>
      </c>
      <c r="R8" s="145" t="s">
        <v>230</v>
      </c>
      <c r="S8" s="145" t="s">
        <v>225</v>
      </c>
    </row>
    <row r="12" spans="3:19" x14ac:dyDescent="0.15">
      <c r="C12" s="141" t="s">
        <v>237</v>
      </c>
    </row>
    <row r="13" spans="3:19" x14ac:dyDescent="0.15">
      <c r="C13" s="141" t="s">
        <v>238</v>
      </c>
      <c r="D13" s="141" t="s">
        <v>239</v>
      </c>
    </row>
    <row r="14" spans="3:19" ht="42.75" x14ac:dyDescent="0.15">
      <c r="C14" s="144" t="s">
        <v>166</v>
      </c>
      <c r="D14" s="144" t="s">
        <v>240</v>
      </c>
      <c r="E14" s="144" t="s">
        <v>241</v>
      </c>
      <c r="F14" s="144" t="s">
        <v>242</v>
      </c>
      <c r="G14" s="144" t="s">
        <v>243</v>
      </c>
      <c r="H14" s="144" t="s">
        <v>244</v>
      </c>
      <c r="I14" s="144" t="s">
        <v>245</v>
      </c>
      <c r="J14" s="144" t="s">
        <v>246</v>
      </c>
      <c r="K14" s="144" t="s">
        <v>247</v>
      </c>
      <c r="L14" s="144" t="s">
        <v>173</v>
      </c>
      <c r="M14" s="144" t="s">
        <v>176</v>
      </c>
    </row>
    <row r="15" spans="3:19" ht="28.5" x14ac:dyDescent="0.15">
      <c r="C15" s="144" t="s">
        <v>178</v>
      </c>
      <c r="D15" s="144" t="s">
        <v>143</v>
      </c>
      <c r="E15" s="144" t="s">
        <v>248</v>
      </c>
      <c r="F15" s="144" t="s">
        <v>143</v>
      </c>
      <c r="G15" s="144" t="s">
        <v>248</v>
      </c>
      <c r="H15" s="144" t="s">
        <v>143</v>
      </c>
      <c r="I15" s="144" t="s">
        <v>248</v>
      </c>
      <c r="J15" s="144" t="s">
        <v>143</v>
      </c>
      <c r="K15" s="144" t="s">
        <v>177</v>
      </c>
      <c r="L15" s="144" t="s">
        <v>143</v>
      </c>
      <c r="M15" s="144" t="s">
        <v>143</v>
      </c>
    </row>
    <row r="16" spans="3:19" ht="42.75" x14ac:dyDescent="0.15">
      <c r="C16" s="144" t="s">
        <v>185</v>
      </c>
      <c r="D16" s="144" t="s">
        <v>249</v>
      </c>
      <c r="E16" s="144" t="s">
        <v>250</v>
      </c>
      <c r="F16" s="144" t="s">
        <v>251</v>
      </c>
      <c r="G16" s="144" t="s">
        <v>252</v>
      </c>
      <c r="H16" s="144" t="s">
        <v>253</v>
      </c>
      <c r="I16" s="144" t="s">
        <v>254</v>
      </c>
      <c r="J16" s="144" t="s">
        <v>255</v>
      </c>
      <c r="K16" s="144" t="s">
        <v>256</v>
      </c>
      <c r="L16" s="144" t="s">
        <v>192</v>
      </c>
      <c r="M16" s="144" t="s">
        <v>195</v>
      </c>
    </row>
    <row r="20" spans="3:19" x14ac:dyDescent="0.15">
      <c r="C20" s="140" t="s">
        <v>153</v>
      </c>
    </row>
    <row r="21" spans="3:19" x14ac:dyDescent="0.15">
      <c r="C21" s="140" t="s">
        <v>126</v>
      </c>
    </row>
    <row r="22" spans="3:19" x14ac:dyDescent="0.15">
      <c r="C22" s="141" t="s">
        <v>158</v>
      </c>
      <c r="D22" s="141" t="s">
        <v>159</v>
      </c>
    </row>
    <row r="23" spans="3:19" ht="42.75" x14ac:dyDescent="0.15">
      <c r="C23" s="144" t="s">
        <v>160</v>
      </c>
      <c r="D23" s="144" t="s">
        <v>161</v>
      </c>
      <c r="E23" s="144" t="s">
        <v>162</v>
      </c>
      <c r="F23" s="144" t="s">
        <v>163</v>
      </c>
      <c r="G23" s="144" t="s">
        <v>164</v>
      </c>
      <c r="H23" s="144" t="s">
        <v>165</v>
      </c>
      <c r="I23" s="144" t="s">
        <v>166</v>
      </c>
      <c r="J23" s="144" t="s">
        <v>167</v>
      </c>
      <c r="K23" s="144" t="s">
        <v>168</v>
      </c>
      <c r="L23" s="144" t="s">
        <v>169</v>
      </c>
      <c r="M23" s="144" t="s">
        <v>170</v>
      </c>
      <c r="N23" s="144" t="s">
        <v>171</v>
      </c>
      <c r="O23" s="144" t="s">
        <v>172</v>
      </c>
      <c r="P23" s="144" t="s">
        <v>173</v>
      </c>
      <c r="Q23" s="144" t="s">
        <v>174</v>
      </c>
      <c r="R23" s="144" t="s">
        <v>175</v>
      </c>
      <c r="S23" s="144" t="s">
        <v>176</v>
      </c>
    </row>
    <row r="24" spans="3:19" ht="14.25" x14ac:dyDescent="0.15">
      <c r="C24" s="144" t="s">
        <v>143</v>
      </c>
      <c r="D24" s="144" t="s">
        <v>177</v>
      </c>
      <c r="E24" s="144" t="s">
        <v>177</v>
      </c>
      <c r="F24" s="144" t="s">
        <v>178</v>
      </c>
      <c r="G24" s="144" t="s">
        <v>178</v>
      </c>
      <c r="H24" s="144" t="s">
        <v>177</v>
      </c>
      <c r="I24" s="144" t="s">
        <v>178</v>
      </c>
      <c r="J24" s="144" t="s">
        <v>177</v>
      </c>
      <c r="K24" s="144" t="s">
        <v>177</v>
      </c>
      <c r="L24" s="144" t="s">
        <v>143</v>
      </c>
      <c r="M24" s="144" t="s">
        <v>143</v>
      </c>
      <c r="N24" s="144" t="s">
        <v>177</v>
      </c>
      <c r="O24" s="144" t="s">
        <v>177</v>
      </c>
      <c r="P24" s="144" t="s">
        <v>143</v>
      </c>
      <c r="Q24" s="144" t="s">
        <v>177</v>
      </c>
      <c r="R24" s="144" t="s">
        <v>177</v>
      </c>
      <c r="S24" s="144" t="s">
        <v>143</v>
      </c>
    </row>
    <row r="25" spans="3:19" ht="42.75" x14ac:dyDescent="0.15">
      <c r="C25" s="144" t="s">
        <v>179</v>
      </c>
      <c r="D25" s="144" t="s">
        <v>180</v>
      </c>
      <c r="E25" s="144" t="s">
        <v>181</v>
      </c>
      <c r="F25" s="144" t="s">
        <v>182</v>
      </c>
      <c r="G25" s="144" t="s">
        <v>183</v>
      </c>
      <c r="H25" s="144" t="s">
        <v>184</v>
      </c>
      <c r="I25" s="144" t="s">
        <v>185</v>
      </c>
      <c r="J25" s="144" t="s">
        <v>186</v>
      </c>
      <c r="K25" s="144" t="s">
        <v>187</v>
      </c>
      <c r="L25" s="144" t="s">
        <v>188</v>
      </c>
      <c r="M25" s="144" t="s">
        <v>189</v>
      </c>
      <c r="N25" s="144" t="s">
        <v>190</v>
      </c>
      <c r="O25" s="144" t="s">
        <v>191</v>
      </c>
      <c r="P25" s="144" t="s">
        <v>192</v>
      </c>
      <c r="Q25" s="144" t="s">
        <v>193</v>
      </c>
      <c r="R25" s="144" t="s">
        <v>194</v>
      </c>
      <c r="S25" s="144" t="s">
        <v>195</v>
      </c>
    </row>
    <row r="26" spans="3:19" x14ac:dyDescent="0.15">
      <c r="C26" s="145" t="s">
        <v>204</v>
      </c>
      <c r="D26" s="145" t="s">
        <v>225</v>
      </c>
      <c r="E26" s="145" t="s">
        <v>236</v>
      </c>
      <c r="F26" s="145" t="s">
        <v>214</v>
      </c>
      <c r="G26" s="145" t="s">
        <v>210</v>
      </c>
      <c r="H26" s="145" t="s">
        <v>211</v>
      </c>
      <c r="I26" s="145" t="s">
        <v>212</v>
      </c>
      <c r="J26" s="145" t="s">
        <v>225</v>
      </c>
      <c r="K26" s="145" t="s">
        <v>257</v>
      </c>
      <c r="L26" s="145" t="s">
        <v>204</v>
      </c>
      <c r="M26" s="145" t="s">
        <v>225</v>
      </c>
      <c r="N26" s="147" t="s">
        <v>228</v>
      </c>
      <c r="O26" s="145" t="s">
        <v>229</v>
      </c>
      <c r="P26" s="145" t="s">
        <v>225</v>
      </c>
      <c r="Q26" s="147" t="s">
        <v>227</v>
      </c>
      <c r="R26" s="145" t="s">
        <v>230</v>
      </c>
      <c r="S26" s="145" t="s">
        <v>225</v>
      </c>
    </row>
    <row r="30" spans="3:19" x14ac:dyDescent="0.15">
      <c r="C30" s="141" t="s">
        <v>237</v>
      </c>
    </row>
    <row r="31" spans="3:19" x14ac:dyDescent="0.15">
      <c r="C31" s="141" t="s">
        <v>238</v>
      </c>
      <c r="D31" s="141" t="s">
        <v>239</v>
      </c>
    </row>
    <row r="32" spans="3:19" ht="42.75" x14ac:dyDescent="0.15">
      <c r="C32" s="144" t="s">
        <v>166</v>
      </c>
      <c r="D32" s="144" t="s">
        <v>240</v>
      </c>
      <c r="E32" s="144" t="s">
        <v>241</v>
      </c>
      <c r="F32" s="144" t="s">
        <v>242</v>
      </c>
      <c r="G32" s="144" t="s">
        <v>243</v>
      </c>
      <c r="H32" s="144" t="s">
        <v>244</v>
      </c>
      <c r="I32" s="144" t="s">
        <v>245</v>
      </c>
      <c r="J32" s="144" t="s">
        <v>246</v>
      </c>
      <c r="K32" s="144" t="s">
        <v>247</v>
      </c>
      <c r="L32" s="144" t="s">
        <v>173</v>
      </c>
      <c r="M32" s="144" t="s">
        <v>176</v>
      </c>
    </row>
    <row r="33" spans="3:13" ht="28.5" x14ac:dyDescent="0.15">
      <c r="C33" s="144" t="s">
        <v>178</v>
      </c>
      <c r="D33" s="144" t="s">
        <v>143</v>
      </c>
      <c r="E33" s="144" t="s">
        <v>248</v>
      </c>
      <c r="F33" s="144" t="s">
        <v>143</v>
      </c>
      <c r="G33" s="144" t="s">
        <v>248</v>
      </c>
      <c r="H33" s="144" t="s">
        <v>143</v>
      </c>
      <c r="I33" s="144" t="s">
        <v>248</v>
      </c>
      <c r="J33" s="144" t="s">
        <v>143</v>
      </c>
      <c r="K33" s="144" t="s">
        <v>177</v>
      </c>
      <c r="L33" s="144" t="s">
        <v>143</v>
      </c>
      <c r="M33" s="144" t="s">
        <v>143</v>
      </c>
    </row>
    <row r="34" spans="3:13" ht="42.75" x14ac:dyDescent="0.15">
      <c r="C34" s="144" t="s">
        <v>185</v>
      </c>
      <c r="D34" s="144" t="s">
        <v>249</v>
      </c>
      <c r="E34" s="144" t="s">
        <v>250</v>
      </c>
      <c r="F34" s="144" t="s">
        <v>251</v>
      </c>
      <c r="G34" s="144" t="s">
        <v>252</v>
      </c>
      <c r="H34" s="144" t="s">
        <v>253</v>
      </c>
      <c r="I34" s="144" t="s">
        <v>254</v>
      </c>
      <c r="J34" s="144" t="s">
        <v>255</v>
      </c>
      <c r="K34" s="144" t="s">
        <v>256</v>
      </c>
      <c r="L34" s="144" t="s">
        <v>192</v>
      </c>
      <c r="M34" s="144" t="s">
        <v>195</v>
      </c>
    </row>
    <row r="35" spans="3:13" x14ac:dyDescent="0.15">
      <c r="C35" s="145" t="s">
        <v>212</v>
      </c>
      <c r="D35" s="143" t="s">
        <v>204</v>
      </c>
      <c r="E35" s="143" t="s">
        <v>261</v>
      </c>
      <c r="F35" s="143" t="s">
        <v>156</v>
      </c>
      <c r="G35" s="143" t="s">
        <v>262</v>
      </c>
      <c r="H35" s="143"/>
      <c r="I35" s="143"/>
      <c r="J35" s="143" t="s">
        <v>156</v>
      </c>
      <c r="K35" s="143"/>
      <c r="L35" s="143" t="s">
        <v>225</v>
      </c>
      <c r="M35" s="143" t="s">
        <v>225</v>
      </c>
    </row>
  </sheetData>
  <phoneticPr fontId="5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2E943-5DA8-4C45-9659-E3DA78FAA6BE}">
  <sheetPr>
    <pageSetUpPr fitToPage="1"/>
  </sheetPr>
  <dimension ref="A1:Q53"/>
  <sheetViews>
    <sheetView zoomScaleNormal="100" workbookViewId="0"/>
  </sheetViews>
  <sheetFormatPr defaultColWidth="2.5" defaultRowHeight="15" customHeight="1" x14ac:dyDescent="0.15"/>
  <cols>
    <col min="1" max="1" width="1.625" style="1" customWidth="1"/>
    <col min="2" max="2" width="14.875" style="20" customWidth="1"/>
    <col min="3" max="3" width="5.375" style="21" customWidth="1"/>
    <col min="4" max="4" width="45.625" style="22" customWidth="1"/>
    <col min="5" max="17" width="5.625" style="24" customWidth="1"/>
    <col min="18" max="16384" width="2.5" style="1"/>
  </cols>
  <sheetData>
    <row r="1" spans="1:17" ht="26.25" customHeight="1" x14ac:dyDescent="0.15">
      <c r="A1" s="78"/>
      <c r="B1" s="39" t="s">
        <v>32</v>
      </c>
      <c r="C1" s="40">
        <v>5</v>
      </c>
      <c r="D1" s="41" t="s">
        <v>33</v>
      </c>
      <c r="E1" s="77">
        <f>COUNTA(F1:CQ1)</f>
        <v>2</v>
      </c>
      <c r="F1" s="42">
        <v>1</v>
      </c>
      <c r="G1" s="42">
        <v>2</v>
      </c>
      <c r="H1" s="42"/>
      <c r="I1" s="42"/>
      <c r="J1" s="42"/>
      <c r="K1" s="42"/>
      <c r="L1" s="42"/>
      <c r="M1" s="42"/>
      <c r="N1" s="42"/>
      <c r="O1" s="42"/>
      <c r="P1" s="42"/>
      <c r="Q1" s="42"/>
    </row>
    <row r="2" spans="1:17" ht="20.100000000000001" customHeight="1" x14ac:dyDescent="0.15">
      <c r="A2" s="43"/>
      <c r="B2" s="44"/>
      <c r="C2" s="45" t="s">
        <v>34</v>
      </c>
      <c r="D2" s="46" t="s">
        <v>35</v>
      </c>
      <c r="E2" s="47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</row>
    <row r="3" spans="1:17" ht="20.100000000000001" customHeight="1" x14ac:dyDescent="0.15">
      <c r="A3" s="43"/>
      <c r="B3" s="50"/>
      <c r="C3" s="23">
        <v>1</v>
      </c>
      <c r="D3" s="79" t="s">
        <v>111</v>
      </c>
      <c r="E3" s="35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</row>
    <row r="4" spans="1:17" ht="20.100000000000001" customHeight="1" x14ac:dyDescent="0.15">
      <c r="A4" s="43"/>
      <c r="B4" s="50"/>
      <c r="C4" s="23">
        <f>C3+1</f>
        <v>2</v>
      </c>
      <c r="D4" s="79" t="s">
        <v>82</v>
      </c>
      <c r="E4" s="35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</row>
    <row r="5" spans="1:17" ht="20.100000000000001" customHeight="1" x14ac:dyDescent="0.15">
      <c r="A5" s="43"/>
      <c r="B5" s="50"/>
      <c r="C5" s="23">
        <f>C4+1</f>
        <v>3</v>
      </c>
      <c r="D5" s="51" t="s">
        <v>85</v>
      </c>
      <c r="E5" s="8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</row>
    <row r="6" spans="1:17" ht="20.100000000000001" customHeight="1" x14ac:dyDescent="0.15">
      <c r="A6" s="43"/>
      <c r="B6" s="50"/>
      <c r="C6" s="23">
        <f t="shared" ref="C6:C13" si="0">C5+1</f>
        <v>4</v>
      </c>
      <c r="D6" s="136" t="s">
        <v>112</v>
      </c>
      <c r="E6" s="137"/>
      <c r="F6" s="52" t="s">
        <v>58</v>
      </c>
      <c r="G6" s="52"/>
      <c r="H6" s="52"/>
      <c r="I6" s="52"/>
      <c r="J6" s="42"/>
      <c r="K6" s="52"/>
      <c r="L6" s="52"/>
      <c r="M6" s="42"/>
      <c r="N6" s="42"/>
      <c r="O6" s="52"/>
      <c r="P6" s="52"/>
      <c r="Q6" s="42"/>
    </row>
    <row r="7" spans="1:17" ht="20.100000000000001" customHeight="1" x14ac:dyDescent="0.15">
      <c r="A7" s="43"/>
      <c r="B7" s="50"/>
      <c r="C7" s="23">
        <f t="shared" si="0"/>
        <v>5</v>
      </c>
      <c r="D7" s="136" t="s">
        <v>75</v>
      </c>
      <c r="E7" s="137"/>
      <c r="F7" s="52"/>
      <c r="G7" s="52" t="s">
        <v>58</v>
      </c>
      <c r="H7" s="52"/>
      <c r="I7" s="52"/>
      <c r="J7" s="42"/>
      <c r="K7" s="52"/>
      <c r="L7" s="52"/>
      <c r="M7" s="52"/>
      <c r="N7" s="42"/>
      <c r="O7" s="52"/>
      <c r="P7" s="52"/>
      <c r="Q7" s="42"/>
    </row>
    <row r="8" spans="1:17" ht="20.100000000000001" customHeight="1" x14ac:dyDescent="0.15">
      <c r="A8" s="43"/>
      <c r="B8" s="50"/>
      <c r="C8" s="23">
        <f t="shared" si="0"/>
        <v>6</v>
      </c>
      <c r="D8" s="79" t="s">
        <v>113</v>
      </c>
      <c r="E8" s="35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</row>
    <row r="9" spans="1:17" ht="20.100000000000001" customHeight="1" x14ac:dyDescent="0.15">
      <c r="A9" s="43"/>
      <c r="B9" s="50"/>
      <c r="C9" s="23">
        <f t="shared" si="0"/>
        <v>7</v>
      </c>
      <c r="D9" s="136" t="s">
        <v>260</v>
      </c>
      <c r="E9" s="137"/>
      <c r="F9" s="52" t="s">
        <v>58</v>
      </c>
      <c r="G9" s="52"/>
      <c r="H9" s="52"/>
      <c r="I9" s="52"/>
      <c r="J9" s="42"/>
      <c r="K9" s="52"/>
      <c r="L9" s="52"/>
      <c r="M9" s="42"/>
      <c r="N9" s="42"/>
      <c r="O9" s="52"/>
      <c r="P9" s="52"/>
      <c r="Q9" s="42"/>
    </row>
    <row r="10" spans="1:17" ht="20.100000000000001" customHeight="1" x14ac:dyDescent="0.15">
      <c r="A10" s="43"/>
      <c r="B10" s="50"/>
      <c r="C10" s="23">
        <f t="shared" si="0"/>
        <v>8</v>
      </c>
      <c r="D10" s="136"/>
      <c r="E10" s="137"/>
      <c r="F10" s="52"/>
      <c r="G10" s="52"/>
      <c r="H10" s="52"/>
      <c r="I10" s="52"/>
      <c r="J10" s="42"/>
      <c r="K10" s="52"/>
      <c r="L10" s="52"/>
      <c r="M10" s="42"/>
      <c r="N10" s="42"/>
      <c r="O10" s="52"/>
      <c r="P10" s="52"/>
      <c r="Q10" s="42"/>
    </row>
    <row r="11" spans="1:17" ht="20.100000000000001" customHeight="1" x14ac:dyDescent="0.15">
      <c r="A11" s="43"/>
      <c r="B11" s="50"/>
      <c r="C11" s="23">
        <f t="shared" si="0"/>
        <v>9</v>
      </c>
      <c r="D11" s="136"/>
      <c r="E11" s="137"/>
      <c r="F11" s="52"/>
      <c r="G11" s="52"/>
      <c r="H11" s="52"/>
      <c r="I11" s="52"/>
      <c r="J11" s="42"/>
      <c r="K11" s="52"/>
      <c r="L11" s="52"/>
      <c r="M11" s="52"/>
      <c r="N11" s="42"/>
      <c r="O11" s="52"/>
      <c r="P11" s="52"/>
      <c r="Q11" s="42"/>
    </row>
    <row r="12" spans="1:17" ht="20.100000000000001" customHeight="1" x14ac:dyDescent="0.15">
      <c r="A12" s="43"/>
      <c r="B12" s="50"/>
      <c r="C12" s="23">
        <f t="shared" si="0"/>
        <v>10</v>
      </c>
      <c r="D12" s="136"/>
      <c r="E12" s="137"/>
      <c r="F12" s="52"/>
      <c r="G12" s="52"/>
      <c r="H12" s="52"/>
      <c r="I12" s="52"/>
      <c r="J12" s="42"/>
      <c r="K12" s="52"/>
      <c r="L12" s="52"/>
      <c r="M12" s="42"/>
      <c r="N12" s="42"/>
      <c r="O12" s="52"/>
      <c r="P12" s="52"/>
      <c r="Q12" s="42"/>
    </row>
    <row r="13" spans="1:17" ht="20.100000000000001" customHeight="1" x14ac:dyDescent="0.15">
      <c r="A13" s="43"/>
      <c r="B13" s="50"/>
      <c r="C13" s="23">
        <f t="shared" si="0"/>
        <v>11</v>
      </c>
      <c r="D13" s="136"/>
      <c r="E13" s="137"/>
      <c r="F13" s="42"/>
      <c r="G13" s="42"/>
      <c r="H13" s="52"/>
      <c r="I13" s="52"/>
      <c r="J13" s="42"/>
      <c r="K13" s="52"/>
      <c r="L13" s="52"/>
      <c r="M13" s="42"/>
      <c r="N13" s="42"/>
      <c r="O13" s="52"/>
      <c r="P13" s="52"/>
      <c r="Q13" s="42"/>
    </row>
    <row r="14" spans="1:17" ht="20.100000000000001" customHeight="1" x14ac:dyDescent="0.15">
      <c r="A14" s="43"/>
      <c r="B14" s="50"/>
      <c r="C14" s="23">
        <f>C13+1</f>
        <v>12</v>
      </c>
      <c r="D14" s="136"/>
      <c r="E14" s="137"/>
      <c r="F14" s="42"/>
      <c r="G14" s="42"/>
      <c r="H14" s="52"/>
      <c r="I14" s="52"/>
      <c r="J14" s="42"/>
      <c r="K14" s="52"/>
      <c r="L14" s="52"/>
      <c r="M14" s="42"/>
      <c r="N14" s="42"/>
      <c r="O14" s="52"/>
      <c r="P14" s="52"/>
      <c r="Q14" s="42"/>
    </row>
    <row r="15" spans="1:17" ht="20.100000000000001" customHeight="1" x14ac:dyDescent="0.15">
      <c r="A15" s="43"/>
      <c r="B15" s="53"/>
      <c r="C15" s="54"/>
      <c r="D15" s="55"/>
      <c r="E15" s="56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</row>
    <row r="16" spans="1:17" ht="19.899999999999999" customHeight="1" x14ac:dyDescent="0.15">
      <c r="A16" s="43"/>
      <c r="B16" s="44"/>
      <c r="C16" s="45" t="s">
        <v>34</v>
      </c>
      <c r="D16" s="46" t="s">
        <v>36</v>
      </c>
      <c r="E16" s="47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</row>
    <row r="17" spans="1:17" ht="20.100000000000001" customHeight="1" x14ac:dyDescent="0.15">
      <c r="A17" s="2"/>
      <c r="B17" s="26"/>
      <c r="C17" s="23">
        <v>1</v>
      </c>
      <c r="D17" s="37" t="s">
        <v>43</v>
      </c>
      <c r="E17" s="35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</row>
    <row r="18" spans="1:17" ht="20.100000000000001" customHeight="1" x14ac:dyDescent="0.15">
      <c r="A18" s="43"/>
      <c r="B18" s="50"/>
      <c r="C18" s="23">
        <f>C17+1</f>
        <v>2</v>
      </c>
      <c r="D18" s="136" t="s">
        <v>100</v>
      </c>
      <c r="E18" s="137"/>
      <c r="F18" s="80" t="s">
        <v>56</v>
      </c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</row>
    <row r="19" spans="1:17" ht="20.100000000000001" customHeight="1" x14ac:dyDescent="0.15">
      <c r="A19" s="43"/>
      <c r="B19" s="50"/>
      <c r="C19" s="23">
        <f t="shared" ref="C19:C32" si="1">C18+1</f>
        <v>3</v>
      </c>
      <c r="D19" s="136" t="s">
        <v>108</v>
      </c>
      <c r="E19" s="137"/>
      <c r="F19" s="80" t="s">
        <v>56</v>
      </c>
      <c r="G19" s="52"/>
      <c r="H19" s="80"/>
      <c r="I19" s="80"/>
      <c r="J19" s="80"/>
      <c r="K19" s="80"/>
      <c r="L19" s="80"/>
      <c r="M19" s="80"/>
      <c r="N19" s="80"/>
      <c r="O19" s="80"/>
      <c r="P19" s="80"/>
      <c r="Q19" s="80"/>
    </row>
    <row r="20" spans="1:17" ht="20.100000000000001" customHeight="1" x14ac:dyDescent="0.15">
      <c r="A20" s="43"/>
      <c r="B20" s="50"/>
      <c r="C20" s="23">
        <f t="shared" si="1"/>
        <v>4</v>
      </c>
      <c r="D20" s="136" t="s">
        <v>109</v>
      </c>
      <c r="E20" s="137"/>
      <c r="F20" s="80" t="s">
        <v>56</v>
      </c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</row>
    <row r="21" spans="1:17" ht="20.100000000000001" customHeight="1" x14ac:dyDescent="0.15">
      <c r="A21" s="43"/>
      <c r="B21" s="50"/>
      <c r="C21" s="23">
        <f t="shared" si="1"/>
        <v>5</v>
      </c>
      <c r="D21" s="136" t="s">
        <v>115</v>
      </c>
      <c r="E21" s="137"/>
      <c r="F21" s="80" t="s">
        <v>56</v>
      </c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</row>
    <row r="22" spans="1:17" ht="20.100000000000001" customHeight="1" x14ac:dyDescent="0.15">
      <c r="A22" s="43"/>
      <c r="B22" s="50"/>
      <c r="C22" s="23">
        <f t="shared" si="1"/>
        <v>6</v>
      </c>
      <c r="D22" s="136"/>
      <c r="E22" s="137"/>
      <c r="F22" s="52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</row>
    <row r="23" spans="1:17" ht="19.5" customHeight="1" x14ac:dyDescent="0.15">
      <c r="A23" s="43"/>
      <c r="B23" s="50"/>
      <c r="C23" s="23">
        <f t="shared" si="1"/>
        <v>7</v>
      </c>
      <c r="D23" s="79" t="s">
        <v>66</v>
      </c>
      <c r="E23" s="35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</row>
    <row r="24" spans="1:17" ht="19.5" customHeight="1" x14ac:dyDescent="0.15">
      <c r="A24" s="43"/>
      <c r="B24" s="50"/>
      <c r="C24" s="23">
        <f t="shared" si="1"/>
        <v>8</v>
      </c>
      <c r="D24" s="136" t="s">
        <v>73</v>
      </c>
      <c r="E24" s="137"/>
      <c r="F24" s="80"/>
      <c r="G24" s="80" t="s">
        <v>56</v>
      </c>
      <c r="H24" s="80"/>
      <c r="I24" s="80"/>
      <c r="J24" s="80"/>
      <c r="K24" s="80"/>
      <c r="L24" s="80"/>
      <c r="M24" s="80"/>
      <c r="N24" s="80"/>
      <c r="O24" s="80"/>
      <c r="P24" s="80"/>
      <c r="Q24" s="80"/>
    </row>
    <row r="25" spans="1:17" ht="19.5" customHeight="1" x14ac:dyDescent="0.15">
      <c r="A25" s="43"/>
      <c r="B25" s="50"/>
      <c r="C25" s="23">
        <f t="shared" si="1"/>
        <v>9</v>
      </c>
      <c r="D25" s="136" t="s">
        <v>93</v>
      </c>
      <c r="E25" s="137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</row>
    <row r="26" spans="1:17" ht="19.5" customHeight="1" x14ac:dyDescent="0.15">
      <c r="A26" s="43"/>
      <c r="B26" s="50"/>
      <c r="C26" s="23">
        <f t="shared" si="1"/>
        <v>10</v>
      </c>
      <c r="D26" s="136" t="s">
        <v>69</v>
      </c>
      <c r="E26" s="137"/>
      <c r="F26" s="80" t="s">
        <v>56</v>
      </c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</row>
    <row r="27" spans="1:17" ht="19.5" customHeight="1" x14ac:dyDescent="0.15">
      <c r="A27" s="43"/>
      <c r="B27" s="50"/>
      <c r="C27" s="23">
        <f t="shared" si="1"/>
        <v>11</v>
      </c>
      <c r="D27" s="136"/>
      <c r="E27" s="137"/>
      <c r="F27" s="52"/>
      <c r="G27" s="42"/>
      <c r="H27" s="42"/>
      <c r="I27" s="52"/>
      <c r="J27" s="52"/>
      <c r="K27" s="42"/>
      <c r="L27" s="52"/>
      <c r="M27" s="52"/>
      <c r="N27" s="52"/>
      <c r="O27" s="42"/>
      <c r="P27" s="52"/>
      <c r="Q27" s="52"/>
    </row>
    <row r="28" spans="1:17" ht="19.5" customHeight="1" x14ac:dyDescent="0.15">
      <c r="A28" s="43"/>
      <c r="B28" s="50"/>
      <c r="C28" s="23">
        <f t="shared" si="1"/>
        <v>12</v>
      </c>
      <c r="D28" s="79" t="s">
        <v>88</v>
      </c>
      <c r="E28" s="35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</row>
    <row r="29" spans="1:17" ht="19.5" customHeight="1" x14ac:dyDescent="0.15">
      <c r="A29" s="43"/>
      <c r="B29" s="50"/>
      <c r="C29" s="23">
        <f t="shared" si="1"/>
        <v>13</v>
      </c>
      <c r="D29" s="136" t="s">
        <v>116</v>
      </c>
      <c r="E29" s="137"/>
      <c r="F29" s="80"/>
      <c r="G29" s="80" t="s">
        <v>56</v>
      </c>
      <c r="H29" s="52"/>
      <c r="I29" s="52"/>
      <c r="J29" s="42"/>
      <c r="K29" s="52"/>
      <c r="L29" s="52"/>
      <c r="M29" s="42"/>
      <c r="N29" s="42"/>
      <c r="O29" s="52"/>
      <c r="P29" s="52"/>
      <c r="Q29" s="42"/>
    </row>
    <row r="30" spans="1:17" ht="19.5" customHeight="1" x14ac:dyDescent="0.15">
      <c r="A30" s="43"/>
      <c r="B30" s="50"/>
      <c r="C30" s="23">
        <f t="shared" si="1"/>
        <v>14</v>
      </c>
      <c r="D30" s="136"/>
      <c r="E30" s="137"/>
      <c r="F30" s="52"/>
      <c r="G30" s="80"/>
      <c r="H30" s="52"/>
      <c r="I30" s="52"/>
      <c r="J30" s="42"/>
      <c r="K30" s="52"/>
      <c r="L30" s="52"/>
      <c r="M30" s="42"/>
      <c r="N30" s="42"/>
      <c r="O30" s="52"/>
      <c r="P30" s="52"/>
      <c r="Q30" s="42"/>
    </row>
    <row r="31" spans="1:17" ht="30" customHeight="1" x14ac:dyDescent="0.15">
      <c r="A31" s="43"/>
      <c r="B31" s="50"/>
      <c r="C31" s="23">
        <f t="shared" si="1"/>
        <v>15</v>
      </c>
      <c r="D31" s="136"/>
      <c r="E31" s="137"/>
      <c r="F31" s="52"/>
      <c r="G31" s="52"/>
      <c r="H31" s="80"/>
      <c r="I31" s="80"/>
      <c r="J31" s="80"/>
      <c r="K31" s="52"/>
      <c r="L31" s="52"/>
      <c r="M31" s="42"/>
      <c r="N31" s="42"/>
      <c r="O31" s="52"/>
      <c r="P31" s="52"/>
      <c r="Q31" s="42"/>
    </row>
    <row r="32" spans="1:17" ht="19.5" customHeight="1" x14ac:dyDescent="0.15">
      <c r="A32" s="43"/>
      <c r="B32" s="50"/>
      <c r="C32" s="23">
        <f t="shared" si="1"/>
        <v>16</v>
      </c>
      <c r="D32" s="136"/>
      <c r="E32" s="137"/>
      <c r="F32" s="58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</row>
    <row r="33" spans="1:17" ht="20.100000000000001" customHeight="1" x14ac:dyDescent="0.15">
      <c r="A33" s="43"/>
      <c r="B33" s="53"/>
      <c r="C33" s="54"/>
      <c r="D33" s="59"/>
      <c r="E33" s="60"/>
      <c r="F33" s="61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</row>
    <row r="34" spans="1:17" ht="20.100000000000001" customHeight="1" x14ac:dyDescent="0.15">
      <c r="A34" s="43"/>
      <c r="B34" s="44"/>
      <c r="C34" s="62" t="s">
        <v>34</v>
      </c>
      <c r="D34" s="45" t="s">
        <v>37</v>
      </c>
      <c r="E34" s="63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</row>
    <row r="35" spans="1:17" ht="20.100000000000001" customHeight="1" x14ac:dyDescent="0.15">
      <c r="A35" s="43"/>
      <c r="B35" s="64" t="s">
        <v>38</v>
      </c>
      <c r="C35" s="65">
        <v>1</v>
      </c>
      <c r="D35" s="38"/>
      <c r="E35" s="66" t="s">
        <v>39</v>
      </c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</row>
    <row r="36" spans="1:17" ht="20.100000000000001" customHeight="1" x14ac:dyDescent="0.15">
      <c r="A36" s="43"/>
      <c r="B36" s="64"/>
      <c r="C36" s="65"/>
      <c r="D36" s="67"/>
      <c r="E36" s="68" t="s">
        <v>40</v>
      </c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</row>
    <row r="37" spans="1:17" ht="20.100000000000001" customHeight="1" x14ac:dyDescent="0.15">
      <c r="A37" s="43"/>
      <c r="B37" s="64"/>
      <c r="C37" s="69">
        <v>2</v>
      </c>
      <c r="D37" s="70"/>
      <c r="E37" s="66" t="s">
        <v>39</v>
      </c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</row>
    <row r="38" spans="1:17" ht="20.100000000000001" customHeight="1" x14ac:dyDescent="0.15">
      <c r="A38" s="43"/>
      <c r="B38" s="64"/>
      <c r="C38" s="71"/>
      <c r="D38" s="72"/>
      <c r="E38" s="68" t="s">
        <v>40</v>
      </c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</row>
    <row r="39" spans="1:17" ht="20.100000000000001" customHeight="1" x14ac:dyDescent="0.15">
      <c r="A39" s="43"/>
      <c r="B39" s="64"/>
      <c r="C39" s="69">
        <v>3</v>
      </c>
      <c r="D39" s="70"/>
      <c r="E39" s="66" t="s">
        <v>39</v>
      </c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</row>
    <row r="40" spans="1:17" ht="20.100000000000001" customHeight="1" x14ac:dyDescent="0.15">
      <c r="A40" s="43"/>
      <c r="B40" s="64"/>
      <c r="C40" s="71"/>
      <c r="D40" s="72"/>
      <c r="E40" s="68" t="s">
        <v>40</v>
      </c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</row>
    <row r="41" spans="1:17" ht="20.100000000000001" customHeight="1" x14ac:dyDescent="0.15">
      <c r="A41" s="43"/>
      <c r="B41" s="64"/>
      <c r="C41" s="69">
        <v>4</v>
      </c>
      <c r="D41" s="70"/>
      <c r="E41" s="66" t="s">
        <v>39</v>
      </c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</row>
    <row r="42" spans="1:17" ht="9.9499999999999993" customHeight="1" x14ac:dyDescent="0.15">
      <c r="A42" s="43"/>
      <c r="B42" s="64"/>
      <c r="C42" s="71"/>
      <c r="D42" s="72"/>
      <c r="E42" s="68" t="s">
        <v>40</v>
      </c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</row>
    <row r="43" spans="1:17" ht="20.100000000000001" customHeight="1" x14ac:dyDescent="0.15">
      <c r="A43" s="43"/>
      <c r="B43" s="64"/>
      <c r="C43" s="69">
        <v>5</v>
      </c>
      <c r="D43" s="70"/>
      <c r="E43" s="66" t="s">
        <v>39</v>
      </c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</row>
    <row r="44" spans="1:17" ht="20.100000000000001" customHeight="1" x14ac:dyDescent="0.15">
      <c r="A44" s="43"/>
      <c r="B44" s="64"/>
      <c r="C44" s="71"/>
      <c r="D44" s="72"/>
      <c r="E44" s="68" t="s">
        <v>40</v>
      </c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</row>
    <row r="45" spans="1:17" ht="30" customHeight="1" x14ac:dyDescent="0.15">
      <c r="A45" s="43"/>
      <c r="B45" s="64"/>
      <c r="C45" s="69">
        <v>6</v>
      </c>
      <c r="D45" s="70"/>
      <c r="E45" s="66" t="s">
        <v>39</v>
      </c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</row>
    <row r="46" spans="1:17" ht="30" customHeight="1" x14ac:dyDescent="0.15">
      <c r="A46" s="43"/>
      <c r="B46" s="64"/>
      <c r="C46" s="71"/>
      <c r="D46" s="72"/>
      <c r="E46" s="68" t="s">
        <v>40</v>
      </c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</row>
    <row r="47" spans="1:17" ht="30" customHeight="1" x14ac:dyDescent="0.15">
      <c r="A47" s="43"/>
      <c r="B47" s="64"/>
      <c r="C47" s="69">
        <v>7</v>
      </c>
      <c r="D47" s="70"/>
      <c r="E47" s="66" t="s">
        <v>39</v>
      </c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</row>
    <row r="48" spans="1:17" ht="30" customHeight="1" x14ac:dyDescent="0.15">
      <c r="A48" s="43"/>
      <c r="B48" s="64"/>
      <c r="C48" s="71"/>
      <c r="D48" s="72"/>
      <c r="E48" s="68" t="s">
        <v>40</v>
      </c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</row>
    <row r="49" spans="1:17" ht="30" customHeight="1" x14ac:dyDescent="0.15">
      <c r="A49" s="43"/>
      <c r="B49" s="64"/>
      <c r="C49" s="69">
        <v>8</v>
      </c>
      <c r="D49" s="70"/>
      <c r="E49" s="66" t="s">
        <v>39</v>
      </c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</row>
    <row r="50" spans="1:17" ht="30" customHeight="1" x14ac:dyDescent="0.15">
      <c r="A50" s="43"/>
      <c r="B50" s="64"/>
      <c r="C50" s="71"/>
      <c r="D50" s="72"/>
      <c r="E50" s="68" t="s">
        <v>40</v>
      </c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</row>
    <row r="51" spans="1:17" ht="30" customHeight="1" x14ac:dyDescent="0.15">
      <c r="A51" s="43"/>
      <c r="B51" s="53"/>
      <c r="C51" s="54"/>
      <c r="D51" s="59"/>
      <c r="E51" s="59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</row>
    <row r="52" spans="1:17" ht="30" customHeight="1" x14ac:dyDescent="0.15">
      <c r="A52" s="78"/>
      <c r="B52" s="73" t="s">
        <v>41</v>
      </c>
      <c r="C52" s="59"/>
      <c r="D52" s="59" t="s">
        <v>42</v>
      </c>
      <c r="E52" s="49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</row>
    <row r="53" spans="1:17" ht="30" customHeight="1" x14ac:dyDescent="0.15">
      <c r="A53" s="135"/>
      <c r="B53" s="135"/>
      <c r="C53" s="74"/>
      <c r="D53" s="14"/>
      <c r="E53" s="75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</row>
  </sheetData>
  <mergeCells count="22">
    <mergeCell ref="D6:E6"/>
    <mergeCell ref="D9:E9"/>
    <mergeCell ref="D21:E21"/>
    <mergeCell ref="D7:E7"/>
    <mergeCell ref="D10:E10"/>
    <mergeCell ref="D11:E11"/>
    <mergeCell ref="D12:E12"/>
    <mergeCell ref="D13:E13"/>
    <mergeCell ref="D14:E14"/>
    <mergeCell ref="D18:E18"/>
    <mergeCell ref="D19:E19"/>
    <mergeCell ref="D20:E20"/>
    <mergeCell ref="D30:E30"/>
    <mergeCell ref="D31:E31"/>
    <mergeCell ref="D32:E32"/>
    <mergeCell ref="A53:B53"/>
    <mergeCell ref="D22:E22"/>
    <mergeCell ref="D24:E24"/>
    <mergeCell ref="D25:E25"/>
    <mergeCell ref="D26:E26"/>
    <mergeCell ref="D27:E27"/>
    <mergeCell ref="D29:E29"/>
  </mergeCells>
  <phoneticPr fontId="5"/>
  <printOptions horizontalCentered="1"/>
  <pageMargins left="0.27559055118110237" right="0.27559055118110237" top="0.59055118110236227" bottom="0.39370078740157483" header="0.39370078740157483" footer="0.19685039370078741"/>
  <pageSetup paperSize="9" scale="63" fitToHeight="0" orientation="landscape" r:id="rId1"/>
  <headerFooter alignWithMargins="0">
    <oddHeader>&amp;L&amp;"ＭＳ ゴシック,太字"&amp;18&amp;A</oddHeader>
    <oddFooter>&amp;L&amp;"ＭＳ Ｐゴシック,標準"&amp;9（ES0402-F01_単体テスト仕様書兼結果報告書 20161003 Ver.1.2）&amp;C&amp;"ＭＳ Ｐゴシック,標準"&amp;9&amp;P / &amp;N&amp;R&amp;"ＭＳ Ｐゴシック,標準"&amp;9Copyright© 2013 SCSK Corporation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01AF2-F9BA-4C27-8A3E-C606A775DF89}">
  <dimension ref="C2:S28"/>
  <sheetViews>
    <sheetView workbookViewId="0"/>
  </sheetViews>
  <sheetFormatPr defaultRowHeight="13.5" x14ac:dyDescent="0.15"/>
  <cols>
    <col min="1" max="2" width="17.875" style="141" bestFit="1" customWidth="1"/>
    <col min="3" max="3" width="15.125" style="141" customWidth="1"/>
    <col min="4" max="4" width="24" style="141" customWidth="1"/>
    <col min="5" max="5" width="20.5" style="141" bestFit="1" customWidth="1"/>
    <col min="6" max="6" width="18.375" style="141" bestFit="1" customWidth="1"/>
    <col min="7" max="7" width="22.75" style="141" bestFit="1" customWidth="1"/>
    <col min="8" max="8" width="27.25" style="141" bestFit="1" customWidth="1"/>
    <col min="9" max="9" width="23.875" style="141" bestFit="1" customWidth="1"/>
    <col min="10" max="10" width="9" style="141"/>
    <col min="11" max="11" width="11.625" style="141" bestFit="1" customWidth="1"/>
    <col min="12" max="13" width="9" style="141"/>
    <col min="14" max="14" width="23.875" style="141" bestFit="1" customWidth="1"/>
    <col min="15" max="15" width="13.875" style="141" bestFit="1" customWidth="1"/>
    <col min="16" max="16" width="9" style="141"/>
    <col min="17" max="18" width="13.875" style="141" bestFit="1" customWidth="1"/>
    <col min="19" max="16384" width="9" style="141"/>
  </cols>
  <sheetData>
    <row r="2" spans="3:19" x14ac:dyDescent="0.15">
      <c r="C2" s="140" t="s">
        <v>152</v>
      </c>
    </row>
    <row r="3" spans="3:19" x14ac:dyDescent="0.15">
      <c r="C3" s="140" t="s">
        <v>126</v>
      </c>
    </row>
    <row r="4" spans="3:19" x14ac:dyDescent="0.15">
      <c r="C4" s="141" t="s">
        <v>158</v>
      </c>
      <c r="D4" s="141" t="s">
        <v>159</v>
      </c>
    </row>
    <row r="5" spans="3:19" ht="42.75" x14ac:dyDescent="0.15">
      <c r="C5" s="144" t="s">
        <v>160</v>
      </c>
      <c r="D5" s="144" t="s">
        <v>161</v>
      </c>
      <c r="E5" s="144" t="s">
        <v>162</v>
      </c>
      <c r="F5" s="144" t="s">
        <v>163</v>
      </c>
      <c r="G5" s="144" t="s">
        <v>164</v>
      </c>
      <c r="H5" s="144" t="s">
        <v>165</v>
      </c>
      <c r="I5" s="144" t="s">
        <v>166</v>
      </c>
      <c r="J5" s="144" t="s">
        <v>167</v>
      </c>
      <c r="K5" s="144" t="s">
        <v>168</v>
      </c>
      <c r="L5" s="144" t="s">
        <v>169</v>
      </c>
      <c r="M5" s="144" t="s">
        <v>170</v>
      </c>
      <c r="N5" s="144" t="s">
        <v>171</v>
      </c>
      <c r="O5" s="144" t="s">
        <v>172</v>
      </c>
      <c r="P5" s="144" t="s">
        <v>173</v>
      </c>
      <c r="Q5" s="144" t="s">
        <v>174</v>
      </c>
      <c r="R5" s="144" t="s">
        <v>175</v>
      </c>
      <c r="S5" s="144" t="s">
        <v>176</v>
      </c>
    </row>
    <row r="6" spans="3:19" ht="14.25" x14ac:dyDescent="0.15">
      <c r="C6" s="144" t="s">
        <v>143</v>
      </c>
      <c r="D6" s="144" t="s">
        <v>177</v>
      </c>
      <c r="E6" s="144" t="s">
        <v>177</v>
      </c>
      <c r="F6" s="144" t="s">
        <v>178</v>
      </c>
      <c r="G6" s="144" t="s">
        <v>178</v>
      </c>
      <c r="H6" s="144" t="s">
        <v>177</v>
      </c>
      <c r="I6" s="144" t="s">
        <v>178</v>
      </c>
      <c r="J6" s="144" t="s">
        <v>177</v>
      </c>
      <c r="K6" s="144" t="s">
        <v>177</v>
      </c>
      <c r="L6" s="144" t="s">
        <v>143</v>
      </c>
      <c r="M6" s="144" t="s">
        <v>143</v>
      </c>
      <c r="N6" s="144" t="s">
        <v>177</v>
      </c>
      <c r="O6" s="144" t="s">
        <v>177</v>
      </c>
      <c r="P6" s="144" t="s">
        <v>143</v>
      </c>
      <c r="Q6" s="144" t="s">
        <v>177</v>
      </c>
      <c r="R6" s="144" t="s">
        <v>177</v>
      </c>
      <c r="S6" s="144" t="s">
        <v>143</v>
      </c>
    </row>
    <row r="7" spans="3:19" ht="42.75" x14ac:dyDescent="0.15">
      <c r="C7" s="144" t="s">
        <v>179</v>
      </c>
      <c r="D7" s="144" t="s">
        <v>180</v>
      </c>
      <c r="E7" s="144" t="s">
        <v>181</v>
      </c>
      <c r="F7" s="144" t="s">
        <v>182</v>
      </c>
      <c r="G7" s="144" t="s">
        <v>183</v>
      </c>
      <c r="H7" s="144" t="s">
        <v>184</v>
      </c>
      <c r="I7" s="144" t="s">
        <v>185</v>
      </c>
      <c r="J7" s="144" t="s">
        <v>186</v>
      </c>
      <c r="K7" s="144" t="s">
        <v>187</v>
      </c>
      <c r="L7" s="144" t="s">
        <v>188</v>
      </c>
      <c r="M7" s="144" t="s">
        <v>189</v>
      </c>
      <c r="N7" s="144" t="s">
        <v>190</v>
      </c>
      <c r="O7" s="144" t="s">
        <v>191</v>
      </c>
      <c r="P7" s="144" t="s">
        <v>192</v>
      </c>
      <c r="Q7" s="144" t="s">
        <v>193</v>
      </c>
      <c r="R7" s="144" t="s">
        <v>194</v>
      </c>
      <c r="S7" s="144" t="s">
        <v>195</v>
      </c>
    </row>
    <row r="8" spans="3:19" x14ac:dyDescent="0.15">
      <c r="C8" s="145" t="s">
        <v>204</v>
      </c>
      <c r="D8" s="145" t="s">
        <v>208</v>
      </c>
      <c r="E8" s="145" t="s">
        <v>263</v>
      </c>
      <c r="F8" s="145" t="s">
        <v>214</v>
      </c>
      <c r="G8" s="145" t="s">
        <v>210</v>
      </c>
      <c r="H8" s="145" t="s">
        <v>211</v>
      </c>
      <c r="I8" s="145" t="s">
        <v>212</v>
      </c>
      <c r="J8" s="145" t="s">
        <v>208</v>
      </c>
      <c r="K8" s="145" t="s">
        <v>224</v>
      </c>
      <c r="L8" s="145" t="s">
        <v>204</v>
      </c>
      <c r="M8" s="145" t="s">
        <v>225</v>
      </c>
      <c r="N8" s="147" t="s">
        <v>228</v>
      </c>
      <c r="O8" s="145" t="s">
        <v>229</v>
      </c>
      <c r="P8" s="145" t="s">
        <v>225</v>
      </c>
      <c r="Q8" s="147" t="s">
        <v>227</v>
      </c>
      <c r="R8" s="145" t="s">
        <v>230</v>
      </c>
      <c r="S8" s="145" t="s">
        <v>225</v>
      </c>
    </row>
    <row r="13" spans="3:19" x14ac:dyDescent="0.15">
      <c r="C13" s="140" t="s">
        <v>153</v>
      </c>
    </row>
    <row r="14" spans="3:19" x14ac:dyDescent="0.15">
      <c r="C14" s="140" t="s">
        <v>126</v>
      </c>
    </row>
    <row r="15" spans="3:19" x14ac:dyDescent="0.15">
      <c r="C15" s="141" t="s">
        <v>158</v>
      </c>
      <c r="D15" s="141" t="s">
        <v>159</v>
      </c>
    </row>
    <row r="16" spans="3:19" ht="42.75" x14ac:dyDescent="0.15">
      <c r="C16" s="144" t="s">
        <v>160</v>
      </c>
      <c r="D16" s="144" t="s">
        <v>161</v>
      </c>
      <c r="E16" s="144" t="s">
        <v>162</v>
      </c>
      <c r="F16" s="144" t="s">
        <v>163</v>
      </c>
      <c r="G16" s="144" t="s">
        <v>164</v>
      </c>
      <c r="H16" s="144" t="s">
        <v>165</v>
      </c>
      <c r="I16" s="144" t="s">
        <v>166</v>
      </c>
      <c r="J16" s="144" t="s">
        <v>167</v>
      </c>
      <c r="K16" s="144" t="s">
        <v>168</v>
      </c>
      <c r="L16" s="144" t="s">
        <v>169</v>
      </c>
      <c r="M16" s="144" t="s">
        <v>170</v>
      </c>
      <c r="N16" s="144" t="s">
        <v>171</v>
      </c>
      <c r="O16" s="144" t="s">
        <v>172</v>
      </c>
      <c r="P16" s="144" t="s">
        <v>173</v>
      </c>
      <c r="Q16" s="144" t="s">
        <v>174</v>
      </c>
      <c r="R16" s="144" t="s">
        <v>175</v>
      </c>
      <c r="S16" s="144" t="s">
        <v>176</v>
      </c>
    </row>
    <row r="17" spans="3:19" ht="14.25" x14ac:dyDescent="0.15">
      <c r="C17" s="144" t="s">
        <v>143</v>
      </c>
      <c r="D17" s="144" t="s">
        <v>177</v>
      </c>
      <c r="E17" s="144" t="s">
        <v>177</v>
      </c>
      <c r="F17" s="144" t="s">
        <v>178</v>
      </c>
      <c r="G17" s="144" t="s">
        <v>178</v>
      </c>
      <c r="H17" s="144" t="s">
        <v>177</v>
      </c>
      <c r="I17" s="144" t="s">
        <v>178</v>
      </c>
      <c r="J17" s="144" t="s">
        <v>177</v>
      </c>
      <c r="K17" s="144" t="s">
        <v>177</v>
      </c>
      <c r="L17" s="144" t="s">
        <v>143</v>
      </c>
      <c r="M17" s="144" t="s">
        <v>143</v>
      </c>
      <c r="N17" s="144" t="s">
        <v>177</v>
      </c>
      <c r="O17" s="144" t="s">
        <v>177</v>
      </c>
      <c r="P17" s="144" t="s">
        <v>143</v>
      </c>
      <c r="Q17" s="144" t="s">
        <v>177</v>
      </c>
      <c r="R17" s="144" t="s">
        <v>177</v>
      </c>
      <c r="S17" s="144" t="s">
        <v>143</v>
      </c>
    </row>
    <row r="18" spans="3:19" ht="42.75" x14ac:dyDescent="0.15">
      <c r="C18" s="144" t="s">
        <v>179</v>
      </c>
      <c r="D18" s="144" t="s">
        <v>180</v>
      </c>
      <c r="E18" s="144" t="s">
        <v>181</v>
      </c>
      <c r="F18" s="144" t="s">
        <v>182</v>
      </c>
      <c r="G18" s="144" t="s">
        <v>183</v>
      </c>
      <c r="H18" s="144" t="s">
        <v>184</v>
      </c>
      <c r="I18" s="144" t="s">
        <v>185</v>
      </c>
      <c r="J18" s="144" t="s">
        <v>186</v>
      </c>
      <c r="K18" s="144" t="s">
        <v>187</v>
      </c>
      <c r="L18" s="144" t="s">
        <v>188</v>
      </c>
      <c r="M18" s="144" t="s">
        <v>189</v>
      </c>
      <c r="N18" s="144" t="s">
        <v>190</v>
      </c>
      <c r="O18" s="144" t="s">
        <v>191</v>
      </c>
      <c r="P18" s="144" t="s">
        <v>192</v>
      </c>
      <c r="Q18" s="144" t="s">
        <v>193</v>
      </c>
      <c r="R18" s="144" t="s">
        <v>194</v>
      </c>
      <c r="S18" s="144" t="s">
        <v>195</v>
      </c>
    </row>
    <row r="19" spans="3:19" x14ac:dyDescent="0.15">
      <c r="C19" s="145" t="s">
        <v>204</v>
      </c>
      <c r="D19" s="145" t="s">
        <v>225</v>
      </c>
      <c r="E19" s="145" t="s">
        <v>236</v>
      </c>
      <c r="F19" s="145" t="s">
        <v>214</v>
      </c>
      <c r="G19" s="145" t="s">
        <v>210</v>
      </c>
      <c r="H19" s="145" t="s">
        <v>211</v>
      </c>
      <c r="I19" s="145" t="s">
        <v>212</v>
      </c>
      <c r="J19" s="145" t="s">
        <v>225</v>
      </c>
      <c r="K19" s="145" t="s">
        <v>257</v>
      </c>
      <c r="L19" s="145" t="s">
        <v>204</v>
      </c>
      <c r="M19" s="145" t="s">
        <v>225</v>
      </c>
      <c r="N19" s="147" t="s">
        <v>228</v>
      </c>
      <c r="O19" s="145" t="s">
        <v>229</v>
      </c>
      <c r="P19" s="145" t="s">
        <v>225</v>
      </c>
      <c r="Q19" s="147" t="s">
        <v>227</v>
      </c>
      <c r="R19" s="145" t="s">
        <v>230</v>
      </c>
      <c r="S19" s="145" t="s">
        <v>225</v>
      </c>
    </row>
    <row r="23" spans="3:19" x14ac:dyDescent="0.15">
      <c r="C23" s="141" t="s">
        <v>237</v>
      </c>
    </row>
    <row r="24" spans="3:19" x14ac:dyDescent="0.15">
      <c r="C24" s="141" t="s">
        <v>238</v>
      </c>
      <c r="D24" s="141" t="s">
        <v>239</v>
      </c>
    </row>
    <row r="25" spans="3:19" ht="42.75" x14ac:dyDescent="0.15">
      <c r="C25" s="144" t="s">
        <v>166</v>
      </c>
      <c r="D25" s="144" t="s">
        <v>240</v>
      </c>
      <c r="E25" s="144" t="s">
        <v>241</v>
      </c>
      <c r="F25" s="144" t="s">
        <v>242</v>
      </c>
      <c r="G25" s="144" t="s">
        <v>243</v>
      </c>
      <c r="H25" s="144" t="s">
        <v>244</v>
      </c>
      <c r="I25" s="144" t="s">
        <v>245</v>
      </c>
      <c r="J25" s="144" t="s">
        <v>246</v>
      </c>
      <c r="K25" s="144" t="s">
        <v>247</v>
      </c>
      <c r="L25" s="144" t="s">
        <v>173</v>
      </c>
      <c r="M25" s="144" t="s">
        <v>176</v>
      </c>
    </row>
    <row r="26" spans="3:19" ht="28.5" x14ac:dyDescent="0.15">
      <c r="C26" s="144" t="s">
        <v>178</v>
      </c>
      <c r="D26" s="144" t="s">
        <v>143</v>
      </c>
      <c r="E26" s="144" t="s">
        <v>248</v>
      </c>
      <c r="F26" s="144" t="s">
        <v>143</v>
      </c>
      <c r="G26" s="144" t="s">
        <v>248</v>
      </c>
      <c r="H26" s="144" t="s">
        <v>143</v>
      </c>
      <c r="I26" s="144" t="s">
        <v>248</v>
      </c>
      <c r="J26" s="144" t="s">
        <v>143</v>
      </c>
      <c r="K26" s="144" t="s">
        <v>177</v>
      </c>
      <c r="L26" s="144" t="s">
        <v>143</v>
      </c>
      <c r="M26" s="144" t="s">
        <v>143</v>
      </c>
    </row>
    <row r="27" spans="3:19" ht="42.75" x14ac:dyDescent="0.15">
      <c r="C27" s="144" t="s">
        <v>185</v>
      </c>
      <c r="D27" s="144" t="s">
        <v>249</v>
      </c>
      <c r="E27" s="144" t="s">
        <v>250</v>
      </c>
      <c r="F27" s="144" t="s">
        <v>251</v>
      </c>
      <c r="G27" s="144" t="s">
        <v>252</v>
      </c>
      <c r="H27" s="144" t="s">
        <v>253</v>
      </c>
      <c r="I27" s="144" t="s">
        <v>254</v>
      </c>
      <c r="J27" s="144" t="s">
        <v>255</v>
      </c>
      <c r="K27" s="144" t="s">
        <v>256</v>
      </c>
      <c r="L27" s="144" t="s">
        <v>192</v>
      </c>
      <c r="M27" s="144" t="s">
        <v>195</v>
      </c>
    </row>
    <row r="28" spans="3:19" x14ac:dyDescent="0.15">
      <c r="C28" s="145" t="s">
        <v>212</v>
      </c>
      <c r="D28" s="143"/>
      <c r="E28" s="143"/>
      <c r="F28" s="143"/>
      <c r="G28" s="143"/>
      <c r="H28" s="143"/>
      <c r="I28" s="143"/>
      <c r="J28" s="143"/>
      <c r="K28" s="143"/>
      <c r="L28" s="143" t="s">
        <v>225</v>
      </c>
      <c r="M28" s="143" t="s">
        <v>225</v>
      </c>
    </row>
  </sheetData>
  <phoneticPr fontId="5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A740709878BA5408EF596FFBAAFFA6C" ma:contentTypeVersion="11" ma:contentTypeDescription="新しいドキュメントを作成します。" ma:contentTypeScope="" ma:versionID="1a7321da3db519e5e678eef3db3451b8">
  <xsd:schema xmlns:xsd="http://www.w3.org/2001/XMLSchema" xmlns:xs="http://www.w3.org/2001/XMLSchema" xmlns:p="http://schemas.microsoft.com/office/2006/metadata/properties" xmlns:ns2="25c05856-9bdf-4c22-ab6e-2155d1bf8754" xmlns:ns3="833adb6f-a0c7-41a0-a612-fc40f281be47" targetNamespace="http://schemas.microsoft.com/office/2006/metadata/properties" ma:root="true" ma:fieldsID="af4beea3d4da84c2986867c09fad40de" ns2:_="" ns3:_="">
    <xsd:import namespace="25c05856-9bdf-4c22-ab6e-2155d1bf8754"/>
    <xsd:import namespace="833adb6f-a0c7-41a0-a612-fc40f281be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c05856-9bdf-4c22-ab6e-2155d1bf87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3adb6f-a0c7-41a0-a612-fc40f281be4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69d5b13-1d1a-48f0-a60a-57147129c68c}" ma:internalName="TaxCatchAll" ma:showField="CatchAllData" ma:web="833adb6f-a0c7-41a0-a612-fc40f281be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33adb6f-a0c7-41a0-a612-fc40f281be47" xsi:nil="true"/>
    <lcf76f155ced4ddcb4097134ff3c332f xmlns="25c05856-9bdf-4c22-ab6e-2155d1bf875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82A03E4-BB64-44B7-A33F-EB145AB092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c05856-9bdf-4c22-ab6e-2155d1bf8754"/>
    <ds:schemaRef ds:uri="833adb6f-a0c7-41a0-a612-fc40f281be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470D72F-606E-4A28-AC5E-78C79BE974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09CE05D-C948-48F7-9876-A1F230F55401}">
  <ds:schemaRefs>
    <ds:schemaRef ds:uri="http://schemas.microsoft.com/office/2006/metadata/properties"/>
    <ds:schemaRef ds:uri="http://schemas.microsoft.com/office/infopath/2007/PartnerControls"/>
    <ds:schemaRef ds:uri="833adb6f-a0c7-41a0-a612-fc40f281be47"/>
    <ds:schemaRef ds:uri="25c05856-9bdf-4c22-ab6e-2155d1bf8754"/>
  </ds:schemaRefs>
</ds:datastoreItem>
</file>

<file path=docMetadata/LabelInfo.xml><?xml version="1.0" encoding="utf-8"?>
<clbl:labelList xmlns:clbl="http://schemas.microsoft.com/office/2020/mipLabelMetadata">
  <clbl:label id="{60caf0c6-f7ab-4599-9bfc-105ffb086a7b}" enabled="1" method="Standard" siteId="{810d6a22-bd9b-4e2c-9654-83e34363a88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19</vt:i4>
      </vt:variant>
    </vt:vector>
  </HeadingPairs>
  <TitlesOfParts>
    <vt:vector size="31" baseType="lpstr">
      <vt:lpstr>表紙</vt:lpstr>
      <vt:lpstr>改訂履歴</vt:lpstr>
      <vt:lpstr>テスト一覧</vt:lpstr>
      <vt:lpstr>テスト仕様（No.1）</vt:lpstr>
      <vt:lpstr>テスト仕様（No.2）</vt:lpstr>
      <vt:lpstr>テストデータ期待値（No.2)</vt:lpstr>
      <vt:lpstr>テスト仕様（No.3）</vt:lpstr>
      <vt:lpstr>テストデータ期待値（No.3)</vt:lpstr>
      <vt:lpstr>テスト仕様（No.4）</vt:lpstr>
      <vt:lpstr>テストデータ期待値（No.4) </vt:lpstr>
      <vt:lpstr>テスト仕様（No.5）</vt:lpstr>
      <vt:lpstr>テストデータ期待値（No.5)</vt:lpstr>
      <vt:lpstr>'テスト仕様（No.1）'!Print_Area</vt:lpstr>
      <vt:lpstr>'テスト仕様（No.2）'!Print_Area</vt:lpstr>
      <vt:lpstr>'テスト仕様（No.3）'!Print_Area</vt:lpstr>
      <vt:lpstr>'テスト仕様（No.4）'!Print_Area</vt:lpstr>
      <vt:lpstr>'テスト仕様（No.5）'!Print_Area</vt:lpstr>
      <vt:lpstr>表紙!Print_Area</vt:lpstr>
      <vt:lpstr>テスト一覧!Print_Titles</vt:lpstr>
      <vt:lpstr>'テスト仕様（No.1）'!Print_Titles</vt:lpstr>
      <vt:lpstr>'テスト仕様（No.2）'!Print_Titles</vt:lpstr>
      <vt:lpstr>'テスト仕様（No.3）'!Print_Titles</vt:lpstr>
      <vt:lpstr>'テスト仕様（No.4）'!Print_Titles</vt:lpstr>
      <vt:lpstr>'テスト仕様（No.5）'!Print_Titles</vt:lpstr>
      <vt:lpstr>改訂履歴!Print_Titles</vt:lpstr>
      <vt:lpstr>表紙!Print_Titles</vt:lpstr>
      <vt:lpstr>'テスト仕様（No.1）'!テストケース数シート別</vt:lpstr>
      <vt:lpstr>'テスト仕様（No.2）'!テストケース数シート別</vt:lpstr>
      <vt:lpstr>'テスト仕様（No.3）'!テストケース数シート別</vt:lpstr>
      <vt:lpstr>'テスト仕様（No.4）'!テストケース数シート別</vt:lpstr>
      <vt:lpstr>'テスト仕様（No.5）'!テストケース数シート別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SCSK</dc:creator>
  <cp:keywords/>
  <dc:description/>
  <cp:lastModifiedBy>閻 峰</cp:lastModifiedBy>
  <cp:revision/>
  <dcterms:created xsi:type="dcterms:W3CDTF">2013-11-22T09:46:59Z</dcterms:created>
  <dcterms:modified xsi:type="dcterms:W3CDTF">2026-05-15T10:11:05Z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0x010100AA740709878BA5408EF596FFBAAFFA6C</vt:lpwstr>
  </property>
</Properties>
</file>